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\5to 2.0\Requisitos\Parcial2\Tareas\Tarea6\"/>
    </mc:Choice>
  </mc:AlternateContent>
  <xr:revisionPtr revIDLastSave="0" documentId="13_ncr:1_{5EAAADFE-28BB-4477-B0FC-0F1BCB0D4CA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triz de Riesgos" sheetId="1" r:id="rId1"/>
    <sheet name="Mapa de Calo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<sst xmlns="http://schemas.openxmlformats.org/spreadsheetml/2006/main" count="152" uniqueCount="130">
  <si>
    <t>MATRIZ DE GESTIÓN DE RIESGOS DE SEGURIDAD DE LA INFORMACIÓN</t>
  </si>
  <si>
    <t>N°</t>
  </si>
  <si>
    <t>ACTIVO DE
INFORMACIÓN</t>
  </si>
  <si>
    <t>AMENAZA</t>
  </si>
  <si>
    <t>VULNERABILIDAD</t>
  </si>
  <si>
    <t>PROBABILIDAD
(1–5)</t>
  </si>
  <si>
    <t>IMPACTO
(1–5)</t>
  </si>
  <si>
    <t>NIVEL DE
RIESGO</t>
  </si>
  <si>
    <t>CLASIFICACIÓN</t>
  </si>
  <si>
    <t>Impresoras de oficina</t>
  </si>
  <si>
    <t>Acceso físico no autorizado a documentos impresos de baja sensibilidad</t>
  </si>
  <si>
    <t>Sin política de recogida inmediata de impresiones y bandeja compartida</t>
  </si>
  <si>
    <t>MUY BAJO</t>
  </si>
  <si>
    <t>Equipos de escritorio obsoletos</t>
  </si>
  <si>
    <t>Fallo de hardware en equipos de bajo impacto operativo</t>
  </si>
  <si>
    <t>Equipos con más de 8 años sin plan de renovación documentado</t>
  </si>
  <si>
    <t>Red Wi-Fi de visitantes</t>
  </si>
  <si>
    <t>Uso excesivo de ancho de banda por visitantes no controlados</t>
  </si>
  <si>
    <t>Sin límite de ancho de banda ni segmentación de la red de invitados</t>
  </si>
  <si>
    <t>Correos internos de baja sensibilidad</t>
  </si>
  <si>
    <t>Envío accidental de correos a destinatarios incorrectos</t>
  </si>
  <si>
    <t>Sin confirmación de destinatario en cliente de correo</t>
  </si>
  <si>
    <t>Registros de asistencia del personal</t>
  </si>
  <si>
    <t>Modificación accidental de registros por errores de usuario</t>
  </si>
  <si>
    <t>Sistema de asistencia sin control de versiones ni registro de cambios</t>
  </si>
  <si>
    <t>BAJO</t>
  </si>
  <si>
    <t>Licencias de software corporativo</t>
  </si>
  <si>
    <t>Uso de software sin licencia por desconocimiento</t>
  </si>
  <si>
    <t>Sin inventario actualizado de licencias de software</t>
  </si>
  <si>
    <t>Archivos físicos de contratos</t>
  </si>
  <si>
    <t>Pérdida o extravío de contratos físicos por desorganización</t>
  </si>
  <si>
    <t>Sin sistema de gestión documental ni control de custodia</t>
  </si>
  <si>
    <t>Datos de proveedores</t>
  </si>
  <si>
    <t>Filtración de datos de proveedores por acceso indebido</t>
  </si>
  <si>
    <t>Información de proveedores en carpetas compartidas sin permisos</t>
  </si>
  <si>
    <t>Equipos móviles (smartphones corporativos)</t>
  </si>
  <si>
    <t>Instalación de aplicaciones maliciosas en dispositivos corporativos</t>
  </si>
  <si>
    <t>Sin política MDM ni restricción de instalación de apps externas</t>
  </si>
  <si>
    <t>Correo electrónico corporativo</t>
  </si>
  <si>
    <t>Phishing masivo dirigido al personal operativo</t>
  </si>
  <si>
    <t>Falta de filtros avanzados anti-phishing y capacitación insuficiente</t>
  </si>
  <si>
    <t>MEDIO</t>
  </si>
  <si>
    <t>Sistemas de videovigilancia (CCTV)</t>
  </si>
  <si>
    <t>Sabotaje físico deliberado de cámaras de seguridad</t>
  </si>
  <si>
    <t>Cámaras en zonas externas sin protección física adicional</t>
  </si>
  <si>
    <t>Plan de continuidad del negocio (BCP)</t>
  </si>
  <si>
    <t>Activación fallida del BCP por falta de pruebas</t>
  </si>
  <si>
    <t>Sin pruebas ni simulacros del plan de continuidad del negocio</t>
  </si>
  <si>
    <t>Red Wi-Fi corporativa</t>
  </si>
  <si>
    <t>Acceso no autorizado a la red interna vía Wi-Fi</t>
  </si>
  <si>
    <t>Red corporativa sin segmentación con invitados, WPA2 con clave débil</t>
  </si>
  <si>
    <t>Cámaras IP y sistema CCTV</t>
  </si>
  <si>
    <t>Acceso remoto no autorizado a cámaras IP corporativas</t>
  </si>
  <si>
    <t>Firmware desactualizado y contraseñas por defecto en cámaras IP</t>
  </si>
  <si>
    <t>Aplicación web de atención al cliente</t>
  </si>
  <si>
    <t>Phishing dirigido (spear phishing) a ejecutivos y personal clave</t>
  </si>
  <si>
    <t>Sin concienciación en seguridad y sin filtros avanzados de correo</t>
  </si>
  <si>
    <t>ALTO</t>
  </si>
  <si>
    <t>Sistemas de control industrial (SCADA/ICS)</t>
  </si>
  <si>
    <t>Ataque físico dirigido a infraestructura crítica OT</t>
  </si>
  <si>
    <t>Acceso físico a sala de control sin doble factor de autenticación</t>
  </si>
  <si>
    <t>Información financiera y contable</t>
  </si>
  <si>
    <t>Manipulación o alteración de registros financieros internos</t>
  </si>
  <si>
    <t>Sin segregación de funciones en el módulo contable del ERP</t>
  </si>
  <si>
    <t>Datos personales de empleados (RRHH)</t>
  </si>
  <si>
    <t>Filtración de datos personales sensibles por acceso indebido</t>
  </si>
  <si>
    <t>Archivos de RRHH en carpetas compartidas sin restricción de acceso</t>
  </si>
  <si>
    <t>Credenciales de acceso (Active Directory)</t>
  </si>
  <si>
    <t>Ataques de fuerza bruta o robo de credenciales corporativas</t>
  </si>
  <si>
    <t>Contraseñas débiles sin autenticación multifactor (MFA) activa</t>
  </si>
  <si>
    <t>VPN y acceso remoto corporativo</t>
  </si>
  <si>
    <t>Intercepción de tráfico en conexiones remotas no cifradas</t>
  </si>
  <si>
    <t>Personal remoto sin VPN obligatoria, uso de redes Wi-Fi públicas</t>
  </si>
  <si>
    <t>CRÍTICO</t>
  </si>
  <si>
    <t>Infraestructura de centro de datos (CPD)</t>
  </si>
  <si>
    <t>Desastre natural (terremoto/inundación) que destruya el CPD principal</t>
  </si>
  <si>
    <t>CPD sin site secundario ni plan de recuperación ante desastres</t>
  </si>
  <si>
    <t>Ciberataque dirigido a sistemas OT de control operacional</t>
  </si>
  <si>
    <t>Sistemas OT/IT sin segmentación de red y sin parches de seguridad</t>
  </si>
  <si>
    <t>Aplicación web corporativa (pública)</t>
  </si>
  <si>
    <t>Inyección SQL desde formularios de acceso público</t>
  </si>
  <si>
    <t>Código sin validación de entradas y sin Web Application Firewall</t>
  </si>
  <si>
    <t>Servidores de producción y aplicaciones críticas</t>
  </si>
  <si>
    <t>Ataque de ransomware mediante correo de phishing o RDP expuesto</t>
  </si>
  <si>
    <t>Sin segmentación de red, usuarios con privilegios excesivos</t>
  </si>
  <si>
    <t>Base de datos central de clientes y transacciones</t>
  </si>
  <si>
    <t>Brecha masiva de datos por ataque combinado (malware + insider)</t>
  </si>
  <si>
    <t>Sin monitoreo de comportamiento (UEBA) ni cifrado de BD en reposo</t>
  </si>
  <si>
    <t>MUY BAJO  (1–4)</t>
  </si>
  <si>
    <t>BAJO      (5–9)</t>
  </si>
  <si>
    <t>MEDIO     (10–14)</t>
  </si>
  <si>
    <t>ALTO      (15–19)</t>
  </si>
  <si>
    <t>CRÍTICO   (20–25)</t>
  </si>
  <si>
    <t>MAPA DE CALOR — MATRIZ DE RIESGOS DE SEGURIDAD DE LA INFORMACIÓN</t>
  </si>
  <si>
    <t>1 - Muy Baja</t>
  </si>
  <si>
    <t>2 - Baja</t>
  </si>
  <si>
    <t>3 - Media</t>
  </si>
  <si>
    <t>4 - Alta</t>
  </si>
  <si>
    <t>5 - Muy Alta</t>
  </si>
  <si>
    <t>5 - Muy Alto</t>
  </si>
  <si>
    <t>5
R21</t>
  </si>
  <si>
    <t>10
R22</t>
  </si>
  <si>
    <t>15
R23</t>
  </si>
  <si>
    <t>20
R24</t>
  </si>
  <si>
    <t>25
R25</t>
  </si>
  <si>
    <t>4 - Alto</t>
  </si>
  <si>
    <t>4
R16</t>
  </si>
  <si>
    <t>8
R17</t>
  </si>
  <si>
    <t>12
R18</t>
  </si>
  <si>
    <t>16
R19</t>
  </si>
  <si>
    <t>20
R20</t>
  </si>
  <si>
    <t>3 - Medio</t>
  </si>
  <si>
    <t>3
R11</t>
  </si>
  <si>
    <t>6
R12</t>
  </si>
  <si>
    <t>9
R13</t>
  </si>
  <si>
    <t>12
R14</t>
  </si>
  <si>
    <t>15
R15</t>
  </si>
  <si>
    <t>2 - Bajo</t>
  </si>
  <si>
    <t>2
R6</t>
  </si>
  <si>
    <t>4
R7</t>
  </si>
  <si>
    <t>6
R8</t>
  </si>
  <si>
    <t>8
R9</t>
  </si>
  <si>
    <t>10
R10</t>
  </si>
  <si>
    <t>1 - Muy Bajo</t>
  </si>
  <si>
    <t>1
R1</t>
  </si>
  <si>
    <t>2
R2</t>
  </si>
  <si>
    <t>3
R3</t>
  </si>
  <si>
    <t>4
R4</t>
  </si>
  <si>
    <t>5
R5</t>
  </si>
  <si>
    <t>IMPACTO / 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</si>
</sst>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family val="2"/>
    </font>
    <font>
      <sz val="10"/>
      <color theme="1"/>
      <name val="Calibri"/>
      <family val="2"/>
      <charset val="1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5"/>
  <sheetViews>
    <sheetView tabSelected="1" zoomScale="80" zoomScaleNormal="80" workbookViewId="0">
      <selection sqref="A1:A1048576"/>
    </sheetView>
  </sheetViews>
  <sheetFormatPr baseColWidth="10" defaultColWidth="8.7109375" defaultRowHeight="15" x14ac:dyDescent="0.25"/>
  <cols>
    <col min="2" max="2" width="4" customWidth="1"/>
    <col min="3" max="3" width="24" customWidth="1"/>
    <col min="4" max="4" width="30" customWidth="1"/>
    <col min="5" max="5" width="32" customWidth="1"/>
    <col min="6" max="6" width="18" customWidth="1"/>
    <col min="7" max="7" width="11" customWidth="1"/>
    <col min="8" max="8" width="13" customWidth="1"/>
    <col min="9" max="9" width="16" customWidth="1"/>
    <col min="10" max="11" width="28" customWidth="1"/>
    <col min="12" max="12" width="18" customWidth="1"/>
    <col min="13" max="13" width="13" customWidth="1"/>
  </cols>
  <sheetData>
    <row r="1" spans="2:9" s="26" customFormat="1" x14ac:dyDescent="0.25"/>
    <row r="2" spans="2:9" s="26" customFormat="1" ht="34.5" customHeight="1" x14ac:dyDescent="0.25">
      <c r="B2" s="27" t="s">
        <v>0</v>
      </c>
      <c r="C2" s="27"/>
      <c r="D2" s="27"/>
      <c r="E2" s="27"/>
      <c r="F2" s="27"/>
      <c r="G2" s="27"/>
      <c r="H2" s="27"/>
      <c r="I2" s="27"/>
    </row>
    <row r="3" spans="2:9" s="26" customFormat="1" ht="37.5" customHeight="1" x14ac:dyDescent="0.25"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9" t="s">
        <v>8</v>
      </c>
    </row>
    <row r="4" spans="2:9" ht="49.5" customHeight="1" x14ac:dyDescent="0.25">
      <c r="B4" s="7">
        <v>1</v>
      </c>
      <c r="C4" s="8" t="s">
        <v>9</v>
      </c>
      <c r="D4" s="8" t="s">
        <v>10</v>
      </c>
      <c r="E4" s="8" t="s">
        <v>11</v>
      </c>
      <c r="F4" s="7">
        <v>1</v>
      </c>
      <c r="G4" s="7">
        <v>1</v>
      </c>
      <c r="H4" s="9">
        <f t="shared" ref="H4:H28" si="0">F4*G4</f>
        <v>1</v>
      </c>
      <c r="I4" s="9" t="s">
        <v>12</v>
      </c>
    </row>
    <row r="5" spans="2:9" ht="49.5" customHeight="1" x14ac:dyDescent="0.25">
      <c r="B5" s="10">
        <v>2</v>
      </c>
      <c r="C5" s="11" t="s">
        <v>13</v>
      </c>
      <c r="D5" s="11" t="s">
        <v>14</v>
      </c>
      <c r="E5" s="11" t="s">
        <v>15</v>
      </c>
      <c r="F5" s="10">
        <v>2</v>
      </c>
      <c r="G5" s="10">
        <v>1</v>
      </c>
      <c r="H5" s="9">
        <f t="shared" si="0"/>
        <v>2</v>
      </c>
      <c r="I5" s="9" t="s">
        <v>12</v>
      </c>
    </row>
    <row r="6" spans="2:9" ht="49.5" customHeight="1" x14ac:dyDescent="0.25">
      <c r="B6" s="7">
        <v>3</v>
      </c>
      <c r="C6" s="8" t="s">
        <v>16</v>
      </c>
      <c r="D6" s="8" t="s">
        <v>17</v>
      </c>
      <c r="E6" s="8" t="s">
        <v>18</v>
      </c>
      <c r="F6" s="7">
        <v>3</v>
      </c>
      <c r="G6" s="7">
        <v>1</v>
      </c>
      <c r="H6" s="9">
        <f t="shared" si="0"/>
        <v>3</v>
      </c>
      <c r="I6" s="9" t="s">
        <v>12</v>
      </c>
    </row>
    <row r="7" spans="2:9" ht="49.5" customHeight="1" x14ac:dyDescent="0.25">
      <c r="B7" s="10">
        <v>4</v>
      </c>
      <c r="C7" s="11" t="s">
        <v>19</v>
      </c>
      <c r="D7" s="11" t="s">
        <v>20</v>
      </c>
      <c r="E7" s="11" t="s">
        <v>21</v>
      </c>
      <c r="F7" s="10">
        <v>4</v>
      </c>
      <c r="G7" s="10">
        <v>1</v>
      </c>
      <c r="H7" s="9">
        <f t="shared" si="0"/>
        <v>4</v>
      </c>
      <c r="I7" s="9" t="s">
        <v>12</v>
      </c>
    </row>
    <row r="8" spans="2:9" ht="49.5" customHeight="1" x14ac:dyDescent="0.25">
      <c r="B8" s="7">
        <v>5</v>
      </c>
      <c r="C8" s="8" t="s">
        <v>22</v>
      </c>
      <c r="D8" s="8" t="s">
        <v>23</v>
      </c>
      <c r="E8" s="8" t="s">
        <v>24</v>
      </c>
      <c r="F8" s="7">
        <v>5</v>
      </c>
      <c r="G8" s="7">
        <v>1</v>
      </c>
      <c r="H8" s="12">
        <f t="shared" si="0"/>
        <v>5</v>
      </c>
      <c r="I8" s="12" t="s">
        <v>25</v>
      </c>
    </row>
    <row r="9" spans="2:9" ht="49.5" customHeight="1" x14ac:dyDescent="0.25">
      <c r="B9" s="10">
        <v>6</v>
      </c>
      <c r="C9" s="11" t="s">
        <v>26</v>
      </c>
      <c r="D9" s="11" t="s">
        <v>27</v>
      </c>
      <c r="E9" s="11" t="s">
        <v>28</v>
      </c>
      <c r="F9" s="10">
        <v>1</v>
      </c>
      <c r="G9" s="10">
        <v>2</v>
      </c>
      <c r="H9" s="9">
        <f t="shared" si="0"/>
        <v>2</v>
      </c>
      <c r="I9" s="9" t="s">
        <v>12</v>
      </c>
    </row>
    <row r="10" spans="2:9" ht="49.5" customHeight="1" x14ac:dyDescent="0.25">
      <c r="B10" s="7">
        <v>7</v>
      </c>
      <c r="C10" s="8" t="s">
        <v>29</v>
      </c>
      <c r="D10" s="8" t="s">
        <v>30</v>
      </c>
      <c r="E10" s="8" t="s">
        <v>31</v>
      </c>
      <c r="F10" s="7">
        <v>2</v>
      </c>
      <c r="G10" s="7">
        <v>2</v>
      </c>
      <c r="H10" s="9">
        <f t="shared" si="0"/>
        <v>4</v>
      </c>
      <c r="I10" s="9" t="s">
        <v>12</v>
      </c>
    </row>
    <row r="11" spans="2:9" ht="49.5" customHeight="1" x14ac:dyDescent="0.25">
      <c r="B11" s="10">
        <v>8</v>
      </c>
      <c r="C11" s="11" t="s">
        <v>32</v>
      </c>
      <c r="D11" s="11" t="s">
        <v>33</v>
      </c>
      <c r="E11" s="11" t="s">
        <v>34</v>
      </c>
      <c r="F11" s="10">
        <v>3</v>
      </c>
      <c r="G11" s="10">
        <v>2</v>
      </c>
      <c r="H11" s="12">
        <f t="shared" si="0"/>
        <v>6</v>
      </c>
      <c r="I11" s="12" t="s">
        <v>25</v>
      </c>
    </row>
    <row r="12" spans="2:9" ht="49.5" customHeight="1" x14ac:dyDescent="0.25">
      <c r="B12" s="7">
        <v>9</v>
      </c>
      <c r="C12" s="8" t="s">
        <v>35</v>
      </c>
      <c r="D12" s="8" t="s">
        <v>36</v>
      </c>
      <c r="E12" s="8" t="s">
        <v>37</v>
      </c>
      <c r="F12" s="7">
        <v>4</v>
      </c>
      <c r="G12" s="7">
        <v>2</v>
      </c>
      <c r="H12" s="12">
        <f t="shared" si="0"/>
        <v>8</v>
      </c>
      <c r="I12" s="12" t="s">
        <v>25</v>
      </c>
    </row>
    <row r="13" spans="2:9" ht="49.5" customHeight="1" x14ac:dyDescent="0.25">
      <c r="B13" s="10">
        <v>10</v>
      </c>
      <c r="C13" s="11" t="s">
        <v>38</v>
      </c>
      <c r="D13" s="11" t="s">
        <v>39</v>
      </c>
      <c r="E13" s="11" t="s">
        <v>40</v>
      </c>
      <c r="F13" s="10">
        <v>5</v>
      </c>
      <c r="G13" s="10">
        <v>2</v>
      </c>
      <c r="H13" s="13">
        <f t="shared" si="0"/>
        <v>10</v>
      </c>
      <c r="I13" s="14" t="s">
        <v>41</v>
      </c>
    </row>
    <row r="14" spans="2:9" ht="49.5" customHeight="1" x14ac:dyDescent="0.25">
      <c r="B14" s="7">
        <v>11</v>
      </c>
      <c r="C14" s="8" t="s">
        <v>42</v>
      </c>
      <c r="D14" s="8" t="s">
        <v>43</v>
      </c>
      <c r="E14" s="8" t="s">
        <v>44</v>
      </c>
      <c r="F14" s="7">
        <v>1</v>
      </c>
      <c r="G14" s="7">
        <v>3</v>
      </c>
      <c r="H14" s="9">
        <f t="shared" si="0"/>
        <v>3</v>
      </c>
      <c r="I14" s="9" t="s">
        <v>12</v>
      </c>
    </row>
    <row r="15" spans="2:9" ht="49.5" customHeight="1" x14ac:dyDescent="0.25">
      <c r="B15" s="10">
        <v>12</v>
      </c>
      <c r="C15" s="11" t="s">
        <v>45</v>
      </c>
      <c r="D15" s="11" t="s">
        <v>46</v>
      </c>
      <c r="E15" s="11" t="s">
        <v>47</v>
      </c>
      <c r="F15" s="10">
        <v>2</v>
      </c>
      <c r="G15" s="10">
        <v>3</v>
      </c>
      <c r="H15" s="12">
        <f t="shared" si="0"/>
        <v>6</v>
      </c>
      <c r="I15" s="12" t="s">
        <v>25</v>
      </c>
    </row>
    <row r="16" spans="2:9" ht="49.5" customHeight="1" x14ac:dyDescent="0.25">
      <c r="B16" s="7">
        <v>13</v>
      </c>
      <c r="C16" s="8" t="s">
        <v>48</v>
      </c>
      <c r="D16" s="8" t="s">
        <v>49</v>
      </c>
      <c r="E16" s="8" t="s">
        <v>50</v>
      </c>
      <c r="F16" s="7">
        <v>3</v>
      </c>
      <c r="G16" s="7">
        <v>3</v>
      </c>
      <c r="H16" s="12">
        <f t="shared" si="0"/>
        <v>9</v>
      </c>
      <c r="I16" s="12" t="s">
        <v>25</v>
      </c>
    </row>
    <row r="17" spans="2:9" ht="49.5" customHeight="1" x14ac:dyDescent="0.25">
      <c r="B17" s="10">
        <v>14</v>
      </c>
      <c r="C17" s="11" t="s">
        <v>51</v>
      </c>
      <c r="D17" s="11" t="s">
        <v>52</v>
      </c>
      <c r="E17" s="11" t="s">
        <v>53</v>
      </c>
      <c r="F17" s="10">
        <v>4</v>
      </c>
      <c r="G17" s="10">
        <v>3</v>
      </c>
      <c r="H17" s="13">
        <f t="shared" si="0"/>
        <v>12</v>
      </c>
      <c r="I17" s="14" t="s">
        <v>41</v>
      </c>
    </row>
    <row r="18" spans="2:9" ht="49.5" customHeight="1" x14ac:dyDescent="0.25">
      <c r="B18" s="7">
        <v>15</v>
      </c>
      <c r="C18" s="8" t="s">
        <v>54</v>
      </c>
      <c r="D18" s="8" t="s">
        <v>55</v>
      </c>
      <c r="E18" s="8" t="s">
        <v>56</v>
      </c>
      <c r="F18" s="7">
        <v>5</v>
      </c>
      <c r="G18" s="7">
        <v>3</v>
      </c>
      <c r="H18" s="15">
        <f t="shared" si="0"/>
        <v>15</v>
      </c>
      <c r="I18" s="15" t="s">
        <v>57</v>
      </c>
    </row>
    <row r="19" spans="2:9" ht="49.5" customHeight="1" x14ac:dyDescent="0.25">
      <c r="B19" s="10">
        <v>16</v>
      </c>
      <c r="C19" s="11" t="s">
        <v>58</v>
      </c>
      <c r="D19" s="11" t="s">
        <v>59</v>
      </c>
      <c r="E19" s="11" t="s">
        <v>60</v>
      </c>
      <c r="F19" s="10">
        <v>1</v>
      </c>
      <c r="G19" s="10">
        <v>4</v>
      </c>
      <c r="H19" s="9">
        <f t="shared" si="0"/>
        <v>4</v>
      </c>
      <c r="I19" s="9" t="s">
        <v>12</v>
      </c>
    </row>
    <row r="20" spans="2:9" ht="49.5" customHeight="1" x14ac:dyDescent="0.25">
      <c r="B20" s="7">
        <v>17</v>
      </c>
      <c r="C20" s="8" t="s">
        <v>61</v>
      </c>
      <c r="D20" s="8" t="s">
        <v>62</v>
      </c>
      <c r="E20" s="8" t="s">
        <v>63</v>
      </c>
      <c r="F20" s="7">
        <v>2</v>
      </c>
      <c r="G20" s="7">
        <v>4</v>
      </c>
      <c r="H20" s="12">
        <f t="shared" si="0"/>
        <v>8</v>
      </c>
      <c r="I20" s="12" t="s">
        <v>25</v>
      </c>
    </row>
    <row r="21" spans="2:9" ht="49.5" customHeight="1" x14ac:dyDescent="0.25">
      <c r="B21" s="10">
        <v>18</v>
      </c>
      <c r="C21" s="11" t="s">
        <v>64</v>
      </c>
      <c r="D21" s="11" t="s">
        <v>65</v>
      </c>
      <c r="E21" s="11" t="s">
        <v>66</v>
      </c>
      <c r="F21" s="10">
        <v>3</v>
      </c>
      <c r="G21" s="10">
        <v>4</v>
      </c>
      <c r="H21" s="13">
        <f t="shared" si="0"/>
        <v>12</v>
      </c>
      <c r="I21" s="14" t="s">
        <v>41</v>
      </c>
    </row>
    <row r="22" spans="2:9" ht="49.5" customHeight="1" x14ac:dyDescent="0.25">
      <c r="B22" s="7">
        <v>19</v>
      </c>
      <c r="C22" s="8" t="s">
        <v>67</v>
      </c>
      <c r="D22" s="8" t="s">
        <v>68</v>
      </c>
      <c r="E22" s="8" t="s">
        <v>69</v>
      </c>
      <c r="F22" s="7">
        <v>4</v>
      </c>
      <c r="G22" s="7">
        <v>4</v>
      </c>
      <c r="H22" s="15">
        <f t="shared" si="0"/>
        <v>16</v>
      </c>
      <c r="I22" s="15" t="s">
        <v>57</v>
      </c>
    </row>
    <row r="23" spans="2:9" ht="49.5" customHeight="1" x14ac:dyDescent="0.25">
      <c r="B23" s="10">
        <v>20</v>
      </c>
      <c r="C23" s="11" t="s">
        <v>70</v>
      </c>
      <c r="D23" s="11" t="s">
        <v>71</v>
      </c>
      <c r="E23" s="11" t="s">
        <v>72</v>
      </c>
      <c r="F23" s="10">
        <v>5</v>
      </c>
      <c r="G23" s="10">
        <v>4</v>
      </c>
      <c r="H23" s="16">
        <f t="shared" si="0"/>
        <v>20</v>
      </c>
      <c r="I23" s="16" t="s">
        <v>73</v>
      </c>
    </row>
    <row r="24" spans="2:9" ht="49.5" customHeight="1" x14ac:dyDescent="0.25">
      <c r="B24" s="7">
        <v>21</v>
      </c>
      <c r="C24" s="8" t="s">
        <v>74</v>
      </c>
      <c r="D24" s="8" t="s">
        <v>75</v>
      </c>
      <c r="E24" s="8" t="s">
        <v>76</v>
      </c>
      <c r="F24" s="7">
        <v>1</v>
      </c>
      <c r="G24" s="7">
        <v>5</v>
      </c>
      <c r="H24" s="12">
        <f t="shared" si="0"/>
        <v>5</v>
      </c>
      <c r="I24" s="12" t="s">
        <v>25</v>
      </c>
    </row>
    <row r="25" spans="2:9" ht="49.5" customHeight="1" x14ac:dyDescent="0.25">
      <c r="B25" s="10">
        <v>22</v>
      </c>
      <c r="C25" s="11" t="s">
        <v>58</v>
      </c>
      <c r="D25" s="11" t="s">
        <v>77</v>
      </c>
      <c r="E25" s="11" t="s">
        <v>78</v>
      </c>
      <c r="F25" s="10">
        <v>2</v>
      </c>
      <c r="G25" s="10">
        <v>5</v>
      </c>
      <c r="H25" s="13">
        <f t="shared" si="0"/>
        <v>10</v>
      </c>
      <c r="I25" s="14" t="s">
        <v>41</v>
      </c>
    </row>
    <row r="26" spans="2:9" ht="49.5" customHeight="1" x14ac:dyDescent="0.25">
      <c r="B26" s="7">
        <v>23</v>
      </c>
      <c r="C26" s="8" t="s">
        <v>79</v>
      </c>
      <c r="D26" s="8" t="s">
        <v>80</v>
      </c>
      <c r="E26" s="8" t="s">
        <v>81</v>
      </c>
      <c r="F26" s="7">
        <v>3</v>
      </c>
      <c r="G26" s="7">
        <v>5</v>
      </c>
      <c r="H26" s="15">
        <f t="shared" si="0"/>
        <v>15</v>
      </c>
      <c r="I26" s="15" t="s">
        <v>57</v>
      </c>
    </row>
    <row r="27" spans="2:9" ht="49.5" customHeight="1" x14ac:dyDescent="0.25">
      <c r="B27" s="10">
        <v>24</v>
      </c>
      <c r="C27" s="11" t="s">
        <v>82</v>
      </c>
      <c r="D27" s="11" t="s">
        <v>83</v>
      </c>
      <c r="E27" s="11" t="s">
        <v>84</v>
      </c>
      <c r="F27" s="10">
        <v>4</v>
      </c>
      <c r="G27" s="10">
        <v>5</v>
      </c>
      <c r="H27" s="16">
        <f t="shared" si="0"/>
        <v>20</v>
      </c>
      <c r="I27" s="16" t="s">
        <v>73</v>
      </c>
    </row>
    <row r="28" spans="2:9" ht="49.5" customHeight="1" x14ac:dyDescent="0.25">
      <c r="B28" s="7">
        <v>25</v>
      </c>
      <c r="C28" s="8" t="s">
        <v>85</v>
      </c>
      <c r="D28" s="8" t="s">
        <v>86</v>
      </c>
      <c r="E28" s="8" t="s">
        <v>87</v>
      </c>
      <c r="F28" s="7">
        <v>5</v>
      </c>
      <c r="G28" s="7">
        <v>5</v>
      </c>
      <c r="H28" s="16">
        <f t="shared" si="0"/>
        <v>25</v>
      </c>
      <c r="I28" s="16" t="s">
        <v>73</v>
      </c>
    </row>
    <row r="30" spans="2:9" x14ac:dyDescent="0.25">
      <c r="B30" s="17" t="s">
        <v>8</v>
      </c>
      <c r="C30" s="6"/>
    </row>
    <row r="31" spans="2:9" ht="18" customHeight="1" x14ac:dyDescent="0.25">
      <c r="B31" s="5" t="s">
        <v>88</v>
      </c>
      <c r="C31" s="5"/>
    </row>
    <row r="32" spans="2:9" ht="18" customHeight="1" x14ac:dyDescent="0.25">
      <c r="B32" s="4" t="s">
        <v>89</v>
      </c>
      <c r="C32" s="4"/>
    </row>
    <row r="33" spans="2:3" ht="18" customHeight="1" x14ac:dyDescent="0.25">
      <c r="B33" s="3" t="s">
        <v>90</v>
      </c>
      <c r="C33" s="3"/>
    </row>
    <row r="34" spans="2:3" ht="18" customHeight="1" x14ac:dyDescent="0.25">
      <c r="B34" s="2" t="s">
        <v>91</v>
      </c>
      <c r="C34" s="2"/>
    </row>
    <row r="35" spans="2:3" ht="18" customHeight="1" x14ac:dyDescent="0.25">
      <c r="B35" s="1" t="s">
        <v>92</v>
      </c>
      <c r="C35" s="1"/>
    </row>
  </sheetData>
  <mergeCells count="7">
    <mergeCell ref="B33:C33"/>
    <mergeCell ref="B34:C34"/>
    <mergeCell ref="B35:C35"/>
    <mergeCell ref="B2:I2"/>
    <mergeCell ref="B30:C30"/>
    <mergeCell ref="B31:C31"/>
    <mergeCell ref="B32:C32"/>
  </mergeCells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44"/>
  <sheetViews>
    <sheetView topLeftCell="A6" zoomScaleNormal="100" workbookViewId="0">
      <selection activeCell="H14" sqref="H14"/>
    </sheetView>
  </sheetViews>
  <sheetFormatPr baseColWidth="10" defaultColWidth="8.7109375" defaultRowHeight="12.75" x14ac:dyDescent="0.2"/>
  <cols>
    <col min="1" max="1" width="8.7109375" style="18"/>
    <col min="2" max="2" width="17.5703125" style="18" customWidth="1"/>
    <col min="3" max="3" width="10.7109375" style="18" customWidth="1"/>
    <col min="4" max="4" width="11.28515625" style="18" customWidth="1"/>
    <col min="5" max="6" width="11.140625" style="18" customWidth="1"/>
    <col min="7" max="7" width="11.28515625" style="18" customWidth="1"/>
    <col min="8" max="8" width="16" style="18" customWidth="1"/>
    <col min="9" max="16384" width="8.7109375" style="18"/>
  </cols>
  <sheetData>
    <row r="2" spans="2:7" ht="34.5" customHeight="1" x14ac:dyDescent="0.2">
      <c r="B2" s="17" t="s">
        <v>93</v>
      </c>
      <c r="C2" s="17"/>
      <c r="D2" s="17"/>
      <c r="E2" s="17"/>
      <c r="F2" s="17"/>
      <c r="G2" s="17"/>
    </row>
    <row r="3" spans="2:7" ht="30" customHeight="1" x14ac:dyDescent="0.2">
      <c r="B3" s="19" t="s">
        <v>129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98</v>
      </c>
    </row>
    <row r="4" spans="2:7" ht="60" customHeight="1" x14ac:dyDescent="0.2">
      <c r="B4" s="20" t="s">
        <v>99</v>
      </c>
      <c r="C4" s="21" t="s">
        <v>100</v>
      </c>
      <c r="D4" s="22" t="s">
        <v>101</v>
      </c>
      <c r="E4" s="23" t="s">
        <v>102</v>
      </c>
      <c r="F4" s="24" t="s">
        <v>103</v>
      </c>
      <c r="G4" s="24" t="s">
        <v>104</v>
      </c>
    </row>
    <row r="5" spans="2:7" ht="60" customHeight="1" x14ac:dyDescent="0.2">
      <c r="B5" s="20" t="s">
        <v>105</v>
      </c>
      <c r="C5" s="25" t="s">
        <v>106</v>
      </c>
      <c r="D5" s="21" t="s">
        <v>107</v>
      </c>
      <c r="E5" s="22" t="s">
        <v>108</v>
      </c>
      <c r="F5" s="23" t="s">
        <v>109</v>
      </c>
      <c r="G5" s="24" t="s">
        <v>110</v>
      </c>
    </row>
    <row r="6" spans="2:7" ht="60" customHeight="1" x14ac:dyDescent="0.2">
      <c r="B6" s="20" t="s">
        <v>111</v>
      </c>
      <c r="C6" s="25" t="s">
        <v>112</v>
      </c>
      <c r="D6" s="21" t="s">
        <v>113</v>
      </c>
      <c r="E6" s="21" t="s">
        <v>114</v>
      </c>
      <c r="F6" s="22" t="s">
        <v>115</v>
      </c>
      <c r="G6" s="23" t="s">
        <v>116</v>
      </c>
    </row>
    <row r="7" spans="2:7" ht="60" customHeight="1" x14ac:dyDescent="0.2">
      <c r="B7" s="20" t="s">
        <v>117</v>
      </c>
      <c r="C7" s="25" t="s">
        <v>118</v>
      </c>
      <c r="D7" s="25" t="s">
        <v>119</v>
      </c>
      <c r="E7" s="21" t="s">
        <v>120</v>
      </c>
      <c r="F7" s="21" t="s">
        <v>121</v>
      </c>
      <c r="G7" s="22" t="s">
        <v>122</v>
      </c>
    </row>
    <row r="8" spans="2:7" ht="60" customHeight="1" x14ac:dyDescent="0.2">
      <c r="B8" s="20" t="s">
        <v>123</v>
      </c>
      <c r="C8" s="25" t="s">
        <v>124</v>
      </c>
      <c r="D8" s="25" t="s">
        <v>125</v>
      </c>
      <c r="E8" s="25" t="s">
        <v>126</v>
      </c>
      <c r="F8" s="25" t="s">
        <v>127</v>
      </c>
      <c r="G8" s="21" t="s">
        <v>128</v>
      </c>
    </row>
    <row r="11" spans="2:7" ht="21.75" customHeight="1" x14ac:dyDescent="0.2"/>
    <row r="12" spans="2:7" ht="21.75" customHeight="1" x14ac:dyDescent="0.2"/>
    <row r="13" spans="2:7" ht="21.75" customHeight="1" x14ac:dyDescent="0.2"/>
    <row r="14" spans="2:7" ht="21.75" customHeight="1" x14ac:dyDescent="0.2"/>
    <row r="15" spans="2:7" ht="21.75" customHeight="1" x14ac:dyDescent="0.2"/>
    <row r="16" spans="2:7" ht="21.75" customHeight="1" x14ac:dyDescent="0.2"/>
    <row r="18" ht="21.75" customHeight="1" x14ac:dyDescent="0.2"/>
    <row r="20" ht="27.75" customHeight="1" x14ac:dyDescent="0.2"/>
    <row r="21" ht="27.75" customHeight="1" x14ac:dyDescent="0.2"/>
    <row r="22" ht="27.75" customHeight="1" x14ac:dyDescent="0.2"/>
    <row r="23" ht="27.75" customHeight="1" x14ac:dyDescent="0.2"/>
    <row r="24" ht="27.75" customHeight="1" x14ac:dyDescent="0.2"/>
    <row r="25" ht="27.75" customHeight="1" x14ac:dyDescent="0.2"/>
    <row r="26" ht="27.75" customHeight="1" x14ac:dyDescent="0.2"/>
    <row r="27" ht="27.75" customHeight="1" x14ac:dyDescent="0.2"/>
    <row r="28" ht="27.75" customHeight="1" x14ac:dyDescent="0.2"/>
    <row r="29" ht="27.75" customHeight="1" x14ac:dyDescent="0.2"/>
    <row r="30" ht="27.75" customHeight="1" x14ac:dyDescent="0.2"/>
    <row r="31" ht="27.75" customHeight="1" x14ac:dyDescent="0.2"/>
    <row r="32" ht="27.75" customHeight="1" x14ac:dyDescent="0.2"/>
    <row r="33" ht="27.75" customHeight="1" x14ac:dyDescent="0.2"/>
    <row r="34" ht="27.75" customHeight="1" x14ac:dyDescent="0.2"/>
    <row r="35" ht="27.75" customHeight="1" x14ac:dyDescent="0.2"/>
    <row r="36" ht="27.75" customHeight="1" x14ac:dyDescent="0.2"/>
    <row r="37" ht="27.75" customHeight="1" x14ac:dyDescent="0.2"/>
    <row r="38" ht="27.75" customHeight="1" x14ac:dyDescent="0.2"/>
    <row r="39" ht="27.75" customHeight="1" x14ac:dyDescent="0.2"/>
    <row r="40" ht="27.75" customHeight="1" x14ac:dyDescent="0.2"/>
    <row r="41" ht="27.75" customHeight="1" x14ac:dyDescent="0.2"/>
    <row r="42" ht="27.75" customHeight="1" x14ac:dyDescent="0.2"/>
    <row r="43" ht="27.75" customHeight="1" x14ac:dyDescent="0.2"/>
    <row r="44" ht="27.75" customHeight="1" x14ac:dyDescent="0.2"/>
  </sheetData>
  <mergeCells count="1">
    <mergeCell ref="B2:G2"/>
  </mergeCells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</vt:lpstr>
      <vt:lpstr>Mapa de Calor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Josue Chango</cp:lastModifiedBy>
  <cp:revision>0</cp:revision>
  <dcterms:created xsi:type="dcterms:W3CDTF">2026-06-06T02:33:22Z</dcterms:created>
  <dcterms:modified xsi:type="dcterms:W3CDTF">2026-06-06T04:12:13Z</dcterms:modified>
  <dc:language>en-US</dc:language>
</cp:coreProperties>
</file>