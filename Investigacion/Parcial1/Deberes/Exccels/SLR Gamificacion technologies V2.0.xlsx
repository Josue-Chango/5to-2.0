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ocuments\GitHub\5to-2.0\Investigacion\Parcial1\Deberes\Exccels\"/>
    </mc:Choice>
  </mc:AlternateContent>
  <xr:revisionPtr revIDLastSave="0" documentId="8_{2F9A580B-0CD1-4C35-A477-5F1CB1678AC9}" xr6:coauthVersionLast="47" xr6:coauthVersionMax="47" xr10:uidLastSave="{00000000-0000-0000-0000-000000000000}"/>
  <bookViews>
    <workbookView xWindow="-108" yWindow="-108" windowWidth="23256" windowHeight="13176" xr2:uid="{CEB240E1-DB38-4149-B5E2-1E7748CE2B7C}"/>
  </bookViews>
  <sheets>
    <sheet name="Research string" sheetId="2" r:id="rId1"/>
    <sheet name="Analysis" sheetId="3" r:id="rId2"/>
    <sheet name="Primary studies " sheetId="1" r:id="rId3"/>
  </sheets>
  <definedNames>
    <definedName name="_xlnm._FilterDatabase" localSheetId="2" hidden="1">'Primary studies '!$C$7:$AC$30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2" l="1"/>
  <c r="W46" i="1"/>
  <c r="T46" i="1"/>
  <c r="U46" i="1"/>
  <c r="V46" i="1"/>
  <c r="O46" i="1"/>
  <c r="S46" i="1"/>
  <c r="X46" i="1"/>
  <c r="Y46" i="1"/>
  <c r="Z46" i="1"/>
  <c r="AA46" i="1"/>
  <c r="AB46" i="1"/>
  <c r="P46" i="1"/>
  <c r="Q46" i="1"/>
  <c r="R46" i="1"/>
  <c r="AC46" i="1"/>
  <c r="J46" i="1"/>
  <c r="K46" i="1"/>
  <c r="L46" i="1"/>
  <c r="M46" i="1"/>
  <c r="N46" i="1"/>
  <c r="I46" i="1"/>
  <c r="D61" i="2"/>
  <c r="O61" i="2"/>
  <c r="N61" i="2"/>
  <c r="M61" i="2"/>
  <c r="L61" i="2"/>
  <c r="K61" i="2"/>
  <c r="J61" i="2"/>
  <c r="I61" i="2"/>
  <c r="H61" i="2"/>
  <c r="G61" i="2"/>
  <c r="F61" i="2"/>
</calcChain>
</file>

<file path=xl/sharedStrings.xml><?xml version="1.0" encoding="utf-8"?>
<sst xmlns="http://schemas.openxmlformats.org/spreadsheetml/2006/main" count="516" uniqueCount="274">
  <si>
    <t>METODOS</t>
  </si>
  <si>
    <t>Support document for conducting the systematic review</t>
  </si>
  <si>
    <t>Selection of keywords and synonyms</t>
  </si>
  <si>
    <t>Keyword</t>
  </si>
  <si>
    <t>Synonymous</t>
  </si>
  <si>
    <t>Methods</t>
  </si>
  <si>
    <t>Strategies</t>
  </si>
  <si>
    <t>Techniques</t>
  </si>
  <si>
    <t>Construction of the search string with keywords and synonyms</t>
  </si>
  <si>
    <t>Scopus</t>
  </si>
  <si>
    <t>Selection of digital libraries</t>
  </si>
  <si>
    <t>Name</t>
  </si>
  <si>
    <t>URL</t>
  </si>
  <si>
    <t>IEEE Digital Library</t>
  </si>
  <si>
    <t>http://ieeexplore.ieee.org</t>
  </si>
  <si>
    <t>Springer Link</t>
  </si>
  <si>
    <t>http://link.springer.com</t>
  </si>
  <si>
    <t>https://www.scopus.com/home.uri</t>
  </si>
  <si>
    <t>Selection of inclusion and exclusion criteria</t>
  </si>
  <si>
    <t>Inclusion Criterion ID</t>
  </si>
  <si>
    <t>Criterion</t>
  </si>
  <si>
    <t>Exclusion Criterion ID</t>
  </si>
  <si>
    <t>CI1</t>
  </si>
  <si>
    <t>CE1</t>
  </si>
  <si>
    <t>CI2</t>
  </si>
  <si>
    <t>CE2</t>
  </si>
  <si>
    <t>CI3</t>
  </si>
  <si>
    <t>CE3</t>
  </si>
  <si>
    <t>CI4</t>
  </si>
  <si>
    <t>CE4</t>
  </si>
  <si>
    <t>CI5</t>
  </si>
  <si>
    <t>CE5</t>
  </si>
  <si>
    <t>Studies published before 2015 due to the constant updating of the area.</t>
  </si>
  <si>
    <t>CI6</t>
  </si>
  <si>
    <t>Articles that use the keywords.</t>
  </si>
  <si>
    <t>CE6</t>
  </si>
  <si>
    <t>Gray literature, or literature published by non-traditional media.</t>
  </si>
  <si>
    <t>CI7</t>
  </si>
  <si>
    <t>CE7</t>
  </si>
  <si>
    <t>CE8</t>
  </si>
  <si>
    <t>Duplicate posts.</t>
  </si>
  <si>
    <t>Review results</t>
  </si>
  <si>
    <t>Years of studies analyzed 2015-2024</t>
  </si>
  <si>
    <t>First Activity</t>
  </si>
  <si>
    <t>Second Activity</t>
  </si>
  <si>
    <t>Third Activity</t>
  </si>
  <si>
    <t>Librería digital</t>
  </si>
  <si>
    <t>Total</t>
  </si>
  <si>
    <t>Accepted</t>
  </si>
  <si>
    <t>Rejected</t>
  </si>
  <si>
    <t>Duplicated</t>
  </si>
  <si>
    <t>Science direct</t>
  </si>
  <si>
    <t xml:space="preserve">Total </t>
  </si>
  <si>
    <t>Request Questions</t>
  </si>
  <si>
    <t>RQ1</t>
  </si>
  <si>
    <t>What are the most commonly used methodologies in the application of gamification in higher education?</t>
  </si>
  <si>
    <t>RQ2</t>
  </si>
  <si>
    <t>How to adapt gamification methodologies applied to academic disciplines in higher education?</t>
  </si>
  <si>
    <t>RQ3</t>
  </si>
  <si>
    <t xml:space="preserve">Answering RQ1 </t>
  </si>
  <si>
    <t>Methodologies</t>
  </si>
  <si>
    <t>Study ID</t>
  </si>
  <si>
    <t>initial search engine</t>
  </si>
  <si>
    <t>Study title</t>
  </si>
  <si>
    <t>Type of study</t>
  </si>
  <si>
    <t>Year</t>
  </si>
  <si>
    <t>Activities</t>
  </si>
  <si>
    <t>Schemes</t>
  </si>
  <si>
    <t>ACM 1</t>
  </si>
  <si>
    <t>ACM</t>
  </si>
  <si>
    <t>Compliance with standards, assurance and audit: does this equal security?</t>
  </si>
  <si>
    <t>Conference Procedings</t>
  </si>
  <si>
    <t>P</t>
  </si>
  <si>
    <t>IEE 1</t>
  </si>
  <si>
    <t>IEE</t>
  </si>
  <si>
    <t xml:space="preserve">Security Audit in Mobile Apps Security Design </t>
  </si>
  <si>
    <t>IEE 2</t>
  </si>
  <si>
    <t>Evolution of a Cybersecurity curriculum</t>
  </si>
  <si>
    <t>IEE 3</t>
  </si>
  <si>
    <t>Definition of Parameters to Perform Audit in Cybersecurity for Public one Organization of Ecuador</t>
  </si>
  <si>
    <t>IEE 4</t>
  </si>
  <si>
    <t>Value-based argumentation for designing and auditing security measures</t>
  </si>
  <si>
    <t>Journal Article</t>
  </si>
  <si>
    <t>IEE 5</t>
  </si>
  <si>
    <t>CYBER SECURITY REQUIREMENTS IN THE NORWEGIAN ENERGY SECTOR</t>
  </si>
  <si>
    <t>IEE 6</t>
  </si>
  <si>
    <t>A security review of local government using NIST CSF: a case study</t>
  </si>
  <si>
    <t>IEE 7</t>
  </si>
  <si>
    <t>The relationship between internal audit and information security: An exploratory investigation</t>
  </si>
  <si>
    <t>IEE 8</t>
  </si>
  <si>
    <t>A TELEHEALTH PRIVACY AND SECURITY SELF_x0002_ASSESSMENT QUESTIONNAIRE FOR TELEHEALTH 
PROVIDERS: DEVELOPMENT AND VALIDATION</t>
  </si>
  <si>
    <t>WOS 1</t>
  </si>
  <si>
    <t>Web of Science</t>
  </si>
  <si>
    <t>Cybersecurity Requirements for AM Systems: New Enforcement in DoD Environments, and Resources for Implementation</t>
  </si>
  <si>
    <t>WOS 2</t>
  </si>
  <si>
    <t>Integrated framework for cybersecurity auditing</t>
  </si>
  <si>
    <t>WOS 3</t>
  </si>
  <si>
    <t>Cyber security assurance process from the internal audit perspective</t>
  </si>
  <si>
    <t>Book</t>
  </si>
  <si>
    <t xml:space="preserve">SD 1 </t>
  </si>
  <si>
    <t>Science Direct</t>
  </si>
  <si>
    <t>The New Aspects for the Instantaneous Information Security Audit</t>
  </si>
  <si>
    <t>SD 2</t>
  </si>
  <si>
    <t>Implementation and Auditing of Risk Management for the Oil and Gas Company</t>
  </si>
  <si>
    <t>SCP 1</t>
  </si>
  <si>
    <t>The Effects of Cyber-security Risks on Added Value of Consulting Services for IT-security Management Systems in Holding Companies</t>
  </si>
  <si>
    <t>SCP 2</t>
  </si>
  <si>
    <t>Information Security Assurance Model (ISAM) for an Examination Paper Preparation Process</t>
  </si>
  <si>
    <t>SCP 3</t>
  </si>
  <si>
    <t>Moving Towards PCI DSS 3.0 Compliance: A Case Study of Credit Card Data Security Audit inan Online Payment Company</t>
  </si>
  <si>
    <t>SCP 4</t>
  </si>
  <si>
    <t>How Do Organizations Seek Cyber Assurance?Investigations on the Adoption of the CommonCriteria and Beyond</t>
  </si>
  <si>
    <t>SCP 5</t>
  </si>
  <si>
    <t>A Comprehensive Cybersecurity Audit Model to Improve Cybersecurity Assurance</t>
  </si>
  <si>
    <t>SCP 6</t>
  </si>
  <si>
    <t>Toward Modern IT Audit– Current Issues And Literature Review</t>
  </si>
  <si>
    <t>SCP 7</t>
  </si>
  <si>
    <t>Review of Cybersecurity Audit Management and Execution Approaches</t>
  </si>
  <si>
    <t>SCP 8</t>
  </si>
  <si>
    <t>SCP 9</t>
  </si>
  <si>
    <t>SCP 10</t>
  </si>
  <si>
    <t>SCP 11</t>
  </si>
  <si>
    <t>SCP 12</t>
  </si>
  <si>
    <t>SCP 13</t>
  </si>
  <si>
    <t>SCP 14</t>
  </si>
  <si>
    <t>SCP 15</t>
  </si>
  <si>
    <t>SCP 16</t>
  </si>
  <si>
    <t>SCP 17</t>
  </si>
  <si>
    <t>SCP 18</t>
  </si>
  <si>
    <t>SCP 19</t>
  </si>
  <si>
    <t>SCP 20</t>
  </si>
  <si>
    <t>SL 1</t>
  </si>
  <si>
    <t>SpringerLink</t>
  </si>
  <si>
    <t>SL 2</t>
  </si>
  <si>
    <t>SL 3</t>
  </si>
  <si>
    <t>SL 4</t>
  </si>
  <si>
    <t>Answering RQ2</t>
  </si>
  <si>
    <t>Scrum</t>
  </si>
  <si>
    <t>Analysis of results, Answering RQ1</t>
  </si>
  <si>
    <t>Methodologies mentioned at least 2 times</t>
  </si>
  <si>
    <t>Article Proposal Type</t>
  </si>
  <si>
    <t>ID Primary study</t>
  </si>
  <si>
    <t>Initial search engine</t>
  </si>
  <si>
    <t>Key contributions</t>
  </si>
  <si>
    <t>Guides</t>
  </si>
  <si>
    <t>crowdsourcing</t>
  </si>
  <si>
    <t>MDA-ECS</t>
  </si>
  <si>
    <t>quota sampling</t>
  </si>
  <si>
    <t>TCCM</t>
  </si>
  <si>
    <t>Octalysis</t>
  </si>
  <si>
    <t>Blockchain</t>
  </si>
  <si>
    <t>Flipped</t>
  </si>
  <si>
    <t>ECOn+Star</t>
  </si>
  <si>
    <t>Competence</t>
  </si>
  <si>
    <t>Simulador  Online</t>
  </si>
  <si>
    <t>Juegos, técnicas Presenciales</t>
  </si>
  <si>
    <t>MDE</t>
  </si>
  <si>
    <t>Hexad</t>
  </si>
  <si>
    <t>Werbach and Hunter's Six Steps</t>
  </si>
  <si>
    <t>ADDIE</t>
  </si>
  <si>
    <t>Solution</t>
  </si>
  <si>
    <t xml:space="preserve">Evaluation </t>
  </si>
  <si>
    <t xml:space="preserve">Opinion </t>
  </si>
  <si>
    <t>Experimental</t>
  </si>
  <si>
    <t>Exploratory</t>
  </si>
  <si>
    <t>Comparation</t>
  </si>
  <si>
    <t>Gamification and SQL: An Empir-ical Study on Student Performance in a Database Course</t>
  </si>
  <si>
    <t>We have seen how assurance is still a developing field and auditing is problematic, even in the highly regulated accounting environment where more than a century of experience still leaves an imperfect system. IT audit is not just a lot more recent, also much less regulated.</t>
  </si>
  <si>
    <t>Ley SOX, ISO 27001, COBIT</t>
  </si>
  <si>
    <t>Gam-mate: Gamification Applied to an Undergrad Discrete Math Course</t>
  </si>
  <si>
    <t>1.- A technical security audit of the mobile application itself and the appropriate server web services (REST/SOAP; that is, representational state transfer/simple object access protocol).
2.- Identify and protect confidential data on the mobile.
3.- Manage password credentials securely on the device.
4.-Ensure that sensitive data is protected in transit.
5.- The audit will include verifications of:
6.-All the input flow filters suspicious data.
7.-Entry verification, avoid injection/dangerous list and access control
8.-Verification of authentication and session management.
9.-Encryption of sensitive information functions
10.-Unsafe storage management
11.-DDOS problems (distributed denial of service)
12.-Configuration management, session duration, etc.</t>
  </si>
  <si>
    <t>Own creation software with rules established by the author</t>
  </si>
  <si>
    <t>Gamification in the Learning Community for Culinary Basics Course at Higher Education</t>
  </si>
  <si>
    <t>Mention a cybersecurity assurance program (Training).</t>
  </si>
  <si>
    <t>NICE framework. 
Ley SOX:  SEC 345: Information Assurance
ITS 420: IT Management
replaced SEC 420: The Business of Information Security and expanded the content for the two specializations.</t>
  </si>
  <si>
    <t>Are Virtual Reality and Gamification Strategies Adaptive for Evaluations?</t>
  </si>
  <si>
    <t xml:space="preserve">Modelo de creación propia del autor para auditar la ciberseguridad en instituciones publicas. Crea una relación matemática simple, objetivos:
1.-System análisis. 
2.-Data collection
3.- Evidence.
4.- Artifacts.
5.- Results
</t>
  </si>
  <si>
    <t>Gamification Method to Improve Speech Skills and Proficiency among Students: Methodology for Implementation</t>
  </si>
  <si>
    <t>Study with content of concepts and relevant aspects of computer auditing
In general, the audit of information technologies involves three aspects:
1) audit design, 2) implementation, and 3) operational effectiveness (IAASB 2012). The design of a control system.
Additionally, it proposes a specific model to audit the controls.</t>
  </si>
  <si>
    <t xml:space="preserve">Sarbanes and Oxley (2002)
COBIT 4.1 
NIST 800-53 
ISO 27001 
COSO
IAASB </t>
  </si>
  <si>
    <t>A case of gamification in virtual environments with RV/RA</t>
  </si>
  <si>
    <t xml:space="preserve">Cybersecurity assurance and compliance model in the Norwegian energy industry, Includes a brief mention of how it could be audited.
</t>
  </si>
  <si>
    <t>ISO 27001
NIST CSF
NVE (Noruega)
NSM (Noruega)</t>
  </si>
  <si>
    <t>Gamification to motivate the development of autonomous tasks in the university : Case study: Central University of Ecuador</t>
  </si>
  <si>
    <t>Model for security evaluation in government institutions using the NIST CSF as a base and the ISA models to validate compliance.</t>
  </si>
  <si>
    <t xml:space="preserve">ISA 62443-2-1:2009 (IAASB )
NIST CSF
ISA 62443-2-1:2009 (IAASB )
ISO 27001
NIST 800-53
COBIT 5
COSO
</t>
  </si>
  <si>
    <t>Undergraduate Engineering Education and the Game-Based Learning Methods to Promote a Culture of Laboratory Safety</t>
  </si>
  <si>
    <t>Characterization of the relevance of internal and external audit actors and the relevance of auditing security management systems (It has its own audit model).</t>
  </si>
  <si>
    <t xml:space="preserve">Ley SOX 2002
COBIT
PCI-DSS
</t>
  </si>
  <si>
    <t>Implementing gamification techniques into university study path-a case study</t>
  </si>
  <si>
    <t>Cybersecurity in systems related to the health sector</t>
  </si>
  <si>
    <t>HIPAA audit protocol</t>
  </si>
  <si>
    <t>Gamification Based on User Types: When and Where It Is Worth Applying</t>
  </si>
  <si>
    <t>Aplicacion del RMF en Fabricación aditiva (AM),impresión 3D</t>
  </si>
  <si>
    <t>Risk Management Framework (RMF), NIST
framework, ISO 27000
The National Vulnerability Database (NVD)</t>
  </si>
  <si>
    <t>Fostering study time outside class using gamification strategies: An experimental study at tertiary-level database courses</t>
  </si>
  <si>
    <t>Presenta un marco de ciberseguridad para realizar auditorías de ciberseguridad en las organizaciones. Cubre varios tipos de amenazas y riesgos y proporcionar información con varios tipos de controles.</t>
  </si>
  <si>
    <t xml:space="preserve"> National Institute of Standards and
Technology (NIST CSF)
 ISO 27001
Critical security controls (CSC/SANS) framework
ISO 2700
COBIT Framework</t>
  </si>
  <si>
    <t>Nonscientific university students training in general science using an active-learning merged pedagogy: Gamification in a flipped classroom</t>
  </si>
  <si>
    <t>Proceso de aseguramiento de la ciberseguridad desde la perspectiva de auditoria interna</t>
  </si>
  <si>
    <t>COBIT
ISO 27000
NIST CSF
AICPA - SOC</t>
  </si>
  <si>
    <t>Gamification in higher education: The ECOn+ star battles</t>
  </si>
  <si>
    <t>Concepto de las auditorías de seguridad de la información instantánea</t>
  </si>
  <si>
    <t>ISO 27001
19011  standards  series</t>
  </si>
  <si>
    <t>Implementing a theory-driven gamification model in higher education flipped courses: Effects on out-of-class activity completion and quality of artifacts</t>
  </si>
  <si>
    <t xml:space="preserve"> Implementación y auditoría del sistema de gestión de riesgos, implementado  para las empresas del sector del petróleo y el gas.</t>
  </si>
  <si>
    <t>ISO  19011  
ISO/IEC  27004</t>
  </si>
  <si>
    <t>Designing Gamified Learning Management Systems for Higher Education</t>
  </si>
  <si>
    <t xml:space="preserve">Implementación de un sistema de ciberseguridad en un conjunto de empresas
</t>
  </si>
  <si>
    <t xml:space="preserve">ISO:  9001,     14001,     22150,     27001,     45001,  19011,  31000,  38500, 22301   and  37000   series
</t>
  </si>
  <si>
    <t>Applying Gamification Technique and Virtual Reality for Prehistoric Learning toward the Metaverse</t>
  </si>
  <si>
    <t>Modelo de aseguramiento de Seguridad de la Información (ISAM) que se basa en los principios de seguridad de la informaciion para el proceso d eprepara examenes</t>
  </si>
  <si>
    <t xml:space="preserve">ISO 27002 
NIST SP-53 Rev 3 </t>
  </si>
  <si>
    <t>An ontology for modelling user’ profiles and activities in gamified education</t>
  </si>
  <si>
    <t>Estandares de seguridad para los proceos de pago con tarjetas de credito ejemplo puntaul Singapore</t>
  </si>
  <si>
    <t>ISO 27000
PCI DSS 3.0</t>
  </si>
  <si>
    <t>An Empirical Investigation of the Different Levels of Gamification in an Introductory Programming Course</t>
  </si>
  <si>
    <t xml:space="preserve">Adopción de estándares y certificaciones de ciberseguridad </t>
  </si>
  <si>
    <t xml:space="preserve">ISO/IEC 15408), 
FIPS
</t>
  </si>
  <si>
    <t>Exploring Gamification Approaches for Enhancing Computational Thinking in Young Learners</t>
  </si>
  <si>
    <t>Propuesta de un Modelo de auditoría de ciberseguridad</t>
  </si>
  <si>
    <t>ISO 27000, 
NIST,
COBIT,
COSO,
PCI DSS</t>
  </si>
  <si>
    <t>Gamified crowdsourcing for idiom corpora construction</t>
  </si>
  <si>
    <t>ISO 27000, 
COBIT,
COSO</t>
  </si>
  <si>
    <t>A Mealy Machine for Mechanic Dynamic Aesthetic (MDA) Gamification Model of Educator Career System in Indonesian Higher Education Institutions</t>
  </si>
  <si>
    <t>Investigación de la auditoría de ciberseguridad</t>
  </si>
  <si>
    <t xml:space="preserve">ISO 27000, 
NIST
</t>
  </si>
  <si>
    <t>The Effect of Gamification Mechanics on User Experiences of AdventureLEARN: A Self-Driven Learning Platform</t>
  </si>
  <si>
    <t>Design, development and use of a digital badges system in higher education</t>
  </si>
  <si>
    <t>Effective Online Engagement Strategies Through Gamification: A Systematic Literature Review and a Future Research Agenda</t>
  </si>
  <si>
    <t>Implementation of Gamification in Mathematics m-Learning Application to Creating Student Engagement</t>
  </si>
  <si>
    <t>iLearning education based on gamification blockchain</t>
  </si>
  <si>
    <t>Kahoot! in Music and Physical Education Classes in Higher Education | Kahoot! en asignaturas de Música y Educación Física en Educación Superior</t>
  </si>
  <si>
    <t>Using Gamified Strategies in Higher Education: Relationship between Intrinsic Motivation and Contextual Variables</t>
  </si>
  <si>
    <t>Evaluating a gamification proposal for learning usability heuristics: Heureka</t>
  </si>
  <si>
    <t>Design and Evaluation of an Engagement Framework for e-Learning Gamification</t>
  </si>
  <si>
    <t>Gamification as a strategy to increase motivation and engagement in higher education chemistry students</t>
  </si>
  <si>
    <t>Gamification technique in engineering education to improve learnability</t>
  </si>
  <si>
    <t>Gamification in software engineering education: A systematic mapping</t>
  </si>
  <si>
    <t>Gamifying research in software engineering</t>
  </si>
  <si>
    <t>The impact of applying challenge-based gamification program on students' learning outcomes: Academic achievement, motivation and flow</t>
  </si>
  <si>
    <t>Developing a gamified artificial intelligence educational robot to promote learning effectiveness and behavior in laboratory safety courses for undergraduate students</t>
  </si>
  <si>
    <t>Gamification and Game Based Learning for Vocational Education and Training: A Systematic Literature Review</t>
  </si>
  <si>
    <t>Gamification in management education - A literature mapping</t>
  </si>
  <si>
    <t>Vulnerability detection</t>
  </si>
  <si>
    <t>Source code</t>
  </si>
  <si>
    <t>Software code</t>
  </si>
  <si>
    <t>Program code</t>
  </si>
  <si>
    <t>Algorithms for detecting vulnerabilities in AI-generated source code: a systematic literature review</t>
  </si>
  <si>
    <t>Free access documents through educational institutions (UFA ESPE).</t>
  </si>
  <si>
    <t>Documents published in the period from 2019 to 2026.</t>
  </si>
  <si>
    <t>Studies that include or mention algorithms, tools, or frameworks for automated vulnerability detection in source code using ML, DL or LLM.</t>
  </si>
  <si>
    <t xml:space="preserve">Studies that report quantitative metrics (accuracy, precision, recall or F1-Score) on recognized datasets </t>
  </si>
  <si>
    <t>Articles based solely on opinion without empirical validation.</t>
  </si>
  <si>
    <t>Short articles or extended abstracts (less than 6 pages).</t>
  </si>
  <si>
    <t>Studies focused exclusively on network security, binary analysis or software vulnerabilities.</t>
  </si>
  <si>
    <t>Studies that do not specifically address source code static vulnerability detection.</t>
  </si>
  <si>
    <t>security vulnerability</t>
  </si>
  <si>
    <t>code vulnerability</t>
  </si>
  <si>
    <t>vulnerability assessment</t>
  </si>
  <si>
    <t>deep learning</t>
  </si>
  <si>
    <t>machine learning</t>
  </si>
  <si>
    <t>LLM</t>
  </si>
  <si>
    <t>static analysis</t>
  </si>
  <si>
    <t>("vulnerability detection" OR "security vulnerability" OR "code vulnerability" OR "vulnerability assessment") AND ("software code" OR "program code") AND ("deep learning" OR "machine learning" OR "LLM")</t>
  </si>
  <si>
    <t>Complete studies with empirical evaluation.</t>
  </si>
  <si>
    <t>Articles whose title, abstract or content is related to source code vulnerability detection.</t>
  </si>
  <si>
    <t>Studies that are not clear or present ambiguity in methodology.</t>
  </si>
  <si>
    <t>What algorithms are used to detect vulnerabilities in source code generated by AI tools?</t>
  </si>
  <si>
    <t>Who is responsible for the quality control of AI-generated code, and what processes do they follow?</t>
  </si>
  <si>
    <t>What automated tools perform quality control on source code and what types of vulnerabilities do they detect?</t>
  </si>
  <si>
    <t>¿Qué algoritmos se utilizan para detectar vulnerabilidades en el código fuente generado por herramientas de IA?</t>
  </si>
  <si>
    <t>¿Quién es el responsable del control de calidad del código generado por IA y qué procesos siguen?</t>
  </si>
  <si>
    <t>¿Qué herramientas automatizadas realizan el control de calidad del código fuente y qué tipos de vulnerabilidades detectan?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</si>
</sst>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"/>
    </font>
    <font>
      <b/>
      <sz val="16"/>
      <color theme="1"/>
      <name val="Calibri"/>
      <family val="2"/>
      <scheme val="minor"/>
    </font>
    <font>
      <sz val="10"/>
      <color rgb="FF333333"/>
      <name val="Arial"/>
      <family val="2"/>
    </font>
    <font>
      <sz val="4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Wingdings 2"/>
      <family val="1"/>
      <charset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8" xfId="0" applyBorder="1"/>
    <xf numFmtId="0" fontId="0" fillId="3" borderId="11" xfId="0" applyFill="1" applyBorder="1"/>
    <xf numFmtId="0" fontId="0" fillId="0" borderId="23" xfId="0" applyBorder="1"/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0" xfId="0" applyFont="1"/>
    <xf numFmtId="0" fontId="0" fillId="0" borderId="1" xfId="0" applyBorder="1" applyAlignment="1">
      <alignment horizontal="center"/>
    </xf>
    <xf numFmtId="0" fontId="14" fillId="0" borderId="0" xfId="0" applyFont="1"/>
    <xf numFmtId="0" fontId="0" fillId="0" borderId="11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wrapText="1"/>
    </xf>
    <xf numFmtId="0" fontId="0" fillId="0" borderId="21" xfId="0" applyBorder="1"/>
    <xf numFmtId="0" fontId="0" fillId="0" borderId="19" xfId="0" applyBorder="1"/>
    <xf numFmtId="0" fontId="0" fillId="0" borderId="16" xfId="0" applyBorder="1"/>
    <xf numFmtId="0" fontId="0" fillId="6" borderId="11" xfId="0" applyFill="1" applyBorder="1"/>
    <xf numFmtId="0" fontId="0" fillId="6" borderId="23" xfId="0" applyFill="1" applyBorder="1"/>
    <xf numFmtId="0" fontId="0" fillId="0" borderId="24" xfId="0" applyBorder="1"/>
    <xf numFmtId="0" fontId="11" fillId="6" borderId="23" xfId="0" applyFont="1" applyFill="1" applyBorder="1"/>
    <xf numFmtId="0" fontId="0" fillId="2" borderId="0" xfId="0" applyFill="1"/>
    <xf numFmtId="0" fontId="0" fillId="7" borderId="0" xfId="0" applyFill="1"/>
    <xf numFmtId="0" fontId="12" fillId="0" borderId="1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1" xfId="0" applyFill="1" applyBorder="1"/>
    <xf numFmtId="0" fontId="0" fillId="8" borderId="10" xfId="0" applyFill="1" applyBorder="1"/>
    <xf numFmtId="0" fontId="0" fillId="8" borderId="11" xfId="0" applyFill="1" applyBorder="1"/>
    <xf numFmtId="0" fontId="5" fillId="8" borderId="11" xfId="0" applyFont="1" applyFill="1" applyBorder="1"/>
    <xf numFmtId="0" fontId="0" fillId="0" borderId="11" xfId="0" applyBorder="1" applyAlignment="1">
      <alignment horizontal="center"/>
    </xf>
    <xf numFmtId="0" fontId="0" fillId="5" borderId="25" xfId="0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12" fillId="0" borderId="12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5" fillId="4" borderId="1" xfId="0" applyFont="1" applyFill="1" applyBorder="1"/>
    <xf numFmtId="0" fontId="5" fillId="4" borderId="11" xfId="0" applyFont="1" applyFill="1" applyBorder="1"/>
    <xf numFmtId="0" fontId="0" fillId="3" borderId="0" xfId="0" applyFill="1"/>
    <xf numFmtId="0" fontId="0" fillId="0" borderId="22" xfId="0" applyBorder="1"/>
    <xf numFmtId="0" fontId="0" fillId="3" borderId="21" xfId="0" applyFill="1" applyBorder="1"/>
    <xf numFmtId="0" fontId="0" fillId="0" borderId="20" xfId="0" applyBorder="1"/>
    <xf numFmtId="0" fontId="0" fillId="9" borderId="11" xfId="0" applyFill="1" applyBorder="1" applyAlignment="1">
      <alignment wrapText="1"/>
    </xf>
    <xf numFmtId="0" fontId="7" fillId="9" borderId="1" xfId="0" applyFont="1" applyFill="1" applyBorder="1" applyAlignment="1">
      <alignment wrapText="1"/>
    </xf>
    <xf numFmtId="0" fontId="0" fillId="9" borderId="0" xfId="0" applyFill="1" applyAlignment="1">
      <alignment wrapText="1"/>
    </xf>
    <xf numFmtId="0" fontId="5" fillId="9" borderId="1" xfId="0" applyFont="1" applyFill="1" applyBorder="1" applyAlignment="1">
      <alignment wrapText="1"/>
    </xf>
    <xf numFmtId="0" fontId="0" fillId="9" borderId="1" xfId="0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10" xfId="0" applyFill="1" applyBorder="1" applyAlignment="1">
      <alignment wrapText="1"/>
    </xf>
    <xf numFmtId="0" fontId="10" fillId="4" borderId="0" xfId="0" applyFont="1" applyFill="1" applyAlignment="1">
      <alignment horizontal="center" vertical="center"/>
    </xf>
    <xf numFmtId="0" fontId="0" fillId="2" borderId="37" xfId="0" applyFill="1" applyBorder="1" applyAlignment="1">
      <alignment horizontal="center"/>
    </xf>
    <xf numFmtId="0" fontId="0" fillId="4" borderId="1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9" borderId="0" xfId="0" applyFill="1"/>
    <xf numFmtId="0" fontId="5" fillId="9" borderId="16" xfId="0" applyFont="1" applyFill="1" applyBorder="1"/>
    <xf numFmtId="0" fontId="0" fillId="9" borderId="1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21" xfId="0" applyFill="1" applyBorder="1"/>
    <xf numFmtId="0" fontId="0" fillId="9" borderId="34" xfId="0" applyFill="1" applyBorder="1"/>
    <xf numFmtId="0" fontId="0" fillId="9" borderId="35" xfId="0" applyFill="1" applyBorder="1"/>
    <xf numFmtId="0" fontId="6" fillId="4" borderId="1" xfId="0" applyFont="1" applyFill="1" applyBorder="1" applyAlignment="1">
      <alignment wrapText="1"/>
    </xf>
    <xf numFmtId="0" fontId="0" fillId="9" borderId="19" xfId="0" applyFill="1" applyBorder="1"/>
    <xf numFmtId="0" fontId="0" fillId="9" borderId="19" xfId="0" applyFill="1" applyBorder="1" applyAlignment="1">
      <alignment wrapText="1"/>
    </xf>
    <xf numFmtId="0" fontId="0" fillId="9" borderId="22" xfId="0" applyFill="1" applyBorder="1"/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opus.com/home.uri" TargetMode="External"/><Relationship Id="rId2" Type="http://schemas.openxmlformats.org/officeDocument/2006/relationships/hyperlink" Target="http://link.springer.com/" TargetMode="External"/><Relationship Id="rId1" Type="http://schemas.openxmlformats.org/officeDocument/2006/relationships/hyperlink" Target="http://ieeexplore.ieee.org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3B9F-BD75-425D-A9CA-F9EEBFA39FB2}">
  <dimension ref="A2:O69"/>
  <sheetViews>
    <sheetView showGridLines="0" tabSelected="1" topLeftCell="A50" zoomScale="116" workbookViewId="0">
      <selection activeCell="E68" sqref="E68"/>
    </sheetView>
  </sheetViews>
  <sheetFormatPr baseColWidth="10" defaultColWidth="11.44140625" defaultRowHeight="14.4" x14ac:dyDescent="0.3"/>
  <cols>
    <col min="1" max="1" width="11.44140625" style="111"/>
    <col min="2" max="2" width="16.77734375" style="111" customWidth="1"/>
    <col min="3" max="3" width="27.77734375" style="111" customWidth="1"/>
    <col min="4" max="4" width="29.5546875" style="111" customWidth="1"/>
    <col min="5" max="5" width="21.21875" style="111" customWidth="1"/>
    <col min="6" max="6" width="32.77734375" style="111" customWidth="1"/>
    <col min="7" max="7" width="16" style="111" customWidth="1"/>
    <col min="8" max="8" width="22.21875" style="111" customWidth="1"/>
    <col min="9" max="9" width="16.77734375" style="111" bestFit="1" customWidth="1"/>
    <col min="10" max="10" width="12.77734375" style="111" customWidth="1"/>
    <col min="11" max="12" width="11.44140625" style="111"/>
    <col min="13" max="13" width="16.77734375" style="111" bestFit="1" customWidth="1"/>
    <col min="14" max="16384" width="11.44140625" style="111"/>
  </cols>
  <sheetData>
    <row r="2" spans="1:9" x14ac:dyDescent="0.3">
      <c r="B2" s="111" t="s">
        <v>248</v>
      </c>
      <c r="F2" s="111" t="s">
        <v>0</v>
      </c>
    </row>
    <row r="4" spans="1:9" x14ac:dyDescent="0.3">
      <c r="D4" s="90" t="s">
        <v>1</v>
      </c>
      <c r="E4" s="90"/>
      <c r="F4" s="90"/>
      <c r="G4" s="90"/>
      <c r="H4" s="90"/>
      <c r="I4" s="90"/>
    </row>
    <row r="5" spans="1:9" x14ac:dyDescent="0.3">
      <c r="D5" s="90"/>
      <c r="E5" s="90"/>
      <c r="F5" s="90"/>
      <c r="G5" s="90"/>
      <c r="H5" s="90"/>
      <c r="I5" s="90"/>
    </row>
    <row r="6" spans="1:9" x14ac:dyDescent="0.3">
      <c r="D6" s="90"/>
      <c r="E6" s="90"/>
      <c r="F6" s="90"/>
      <c r="G6" s="90"/>
      <c r="H6" s="90"/>
      <c r="I6" s="90"/>
    </row>
    <row r="8" spans="1:9" ht="20.55" customHeight="1" x14ac:dyDescent="0.3">
      <c r="A8" s="92">
        <v>1</v>
      </c>
      <c r="C8" s="91" t="s">
        <v>2</v>
      </c>
      <c r="D8" s="91"/>
      <c r="E8" s="103"/>
    </row>
    <row r="9" spans="1:9" x14ac:dyDescent="0.3">
      <c r="A9" s="92"/>
      <c r="C9" s="104" t="s">
        <v>3</v>
      </c>
      <c r="D9" s="105" t="s">
        <v>4</v>
      </c>
      <c r="E9" s="103"/>
    </row>
    <row r="10" spans="1:9" x14ac:dyDescent="0.3">
      <c r="A10" s="92"/>
      <c r="C10" s="106" t="s">
        <v>244</v>
      </c>
      <c r="D10" s="106" t="s">
        <v>259</v>
      </c>
      <c r="E10" s="103"/>
    </row>
    <row r="11" spans="1:9" x14ac:dyDescent="0.3">
      <c r="A11" s="92"/>
      <c r="C11" s="106"/>
      <c r="D11" s="106" t="s">
        <v>258</v>
      </c>
      <c r="E11" s="103"/>
    </row>
    <row r="12" spans="1:9" x14ac:dyDescent="0.3">
      <c r="A12" s="92"/>
      <c r="C12" s="106"/>
      <c r="D12" s="106" t="s">
        <v>257</v>
      </c>
      <c r="E12" s="103"/>
    </row>
    <row r="13" spans="1:9" x14ac:dyDescent="0.3">
      <c r="A13" s="92"/>
      <c r="C13" s="106" t="s">
        <v>245</v>
      </c>
      <c r="D13" s="106" t="s">
        <v>246</v>
      </c>
      <c r="E13" s="103"/>
    </row>
    <row r="14" spans="1:9" x14ac:dyDescent="0.3">
      <c r="A14" s="92"/>
      <c r="C14" s="106"/>
      <c r="D14" s="106" t="s">
        <v>247</v>
      </c>
      <c r="E14" s="103"/>
    </row>
    <row r="15" spans="1:9" x14ac:dyDescent="0.3">
      <c r="C15" s="106" t="s">
        <v>260</v>
      </c>
      <c r="D15" s="106" t="s">
        <v>261</v>
      </c>
    </row>
    <row r="16" spans="1:9" x14ac:dyDescent="0.3">
      <c r="C16" s="106"/>
      <c r="D16" s="106" t="s">
        <v>262</v>
      </c>
    </row>
    <row r="17" spans="1:4" x14ac:dyDescent="0.3">
      <c r="C17" s="112"/>
      <c r="D17" s="106" t="s">
        <v>263</v>
      </c>
    </row>
    <row r="21" spans="1:4" x14ac:dyDescent="0.3">
      <c r="A21" s="92">
        <v>2</v>
      </c>
      <c r="C21" s="111" t="s">
        <v>8</v>
      </c>
    </row>
    <row r="22" spans="1:4" x14ac:dyDescent="0.3">
      <c r="A22" s="92"/>
    </row>
    <row r="23" spans="1:4" x14ac:dyDescent="0.3">
      <c r="A23" s="92"/>
      <c r="C23" s="111" t="s">
        <v>264</v>
      </c>
    </row>
    <row r="24" spans="1:4" x14ac:dyDescent="0.3">
      <c r="A24" s="92"/>
    </row>
    <row r="25" spans="1:4" x14ac:dyDescent="0.3">
      <c r="A25" s="92"/>
    </row>
    <row r="26" spans="1:4" x14ac:dyDescent="0.3">
      <c r="A26" s="92"/>
      <c r="C26" s="113" t="s">
        <v>9</v>
      </c>
    </row>
    <row r="27" spans="1:4" x14ac:dyDescent="0.3">
      <c r="A27" s="92"/>
    </row>
    <row r="30" spans="1:4" ht="14.55" customHeight="1" x14ac:dyDescent="0.3">
      <c r="A30" s="92">
        <v>3</v>
      </c>
      <c r="C30" s="111" t="s">
        <v>10</v>
      </c>
    </row>
    <row r="31" spans="1:4" ht="14.55" customHeight="1" x14ac:dyDescent="0.3">
      <c r="A31" s="92"/>
    </row>
    <row r="32" spans="1:4" ht="14.55" customHeight="1" x14ac:dyDescent="0.3">
      <c r="A32" s="92"/>
      <c r="C32" s="111" t="s">
        <v>11</v>
      </c>
      <c r="D32" s="111" t="s">
        <v>12</v>
      </c>
    </row>
    <row r="33" spans="1:6" ht="14.55" customHeight="1" x14ac:dyDescent="0.3">
      <c r="A33" s="92"/>
      <c r="C33" s="111" t="s">
        <v>13</v>
      </c>
      <c r="D33" s="114" t="s">
        <v>14</v>
      </c>
    </row>
    <row r="34" spans="1:6" ht="14.55" customHeight="1" x14ac:dyDescent="0.3">
      <c r="A34" s="92"/>
      <c r="C34" s="111" t="s">
        <v>15</v>
      </c>
      <c r="D34" s="114" t="s">
        <v>16</v>
      </c>
    </row>
    <row r="35" spans="1:6" ht="14.55" customHeight="1" x14ac:dyDescent="0.3">
      <c r="A35" s="92"/>
      <c r="C35" s="111" t="s">
        <v>9</v>
      </c>
      <c r="D35" s="114" t="s">
        <v>17</v>
      </c>
    </row>
    <row r="36" spans="1:6" ht="14.55" customHeight="1" x14ac:dyDescent="0.3">
      <c r="A36" s="92"/>
    </row>
    <row r="37" spans="1:6" x14ac:dyDescent="0.3">
      <c r="A37" s="92"/>
      <c r="D37" s="114"/>
    </row>
    <row r="38" spans="1:6" x14ac:dyDescent="0.3">
      <c r="A38" s="92"/>
    </row>
    <row r="41" spans="1:6" x14ac:dyDescent="0.3">
      <c r="A41" s="92">
        <v>4</v>
      </c>
      <c r="C41" s="111" t="s">
        <v>18</v>
      </c>
    </row>
    <row r="42" spans="1:6" x14ac:dyDescent="0.3">
      <c r="A42" s="92"/>
      <c r="C42" s="89" t="s">
        <v>19</v>
      </c>
      <c r="D42" s="115" t="s">
        <v>20</v>
      </c>
      <c r="E42" s="89" t="s">
        <v>21</v>
      </c>
      <c r="F42" s="115" t="s">
        <v>20</v>
      </c>
    </row>
    <row r="43" spans="1:6" ht="43.2" x14ac:dyDescent="0.3">
      <c r="A43" s="92"/>
      <c r="C43" s="15" t="s">
        <v>22</v>
      </c>
      <c r="D43" s="107" t="s">
        <v>249</v>
      </c>
      <c r="E43" s="18" t="s">
        <v>23</v>
      </c>
      <c r="F43" s="107" t="s">
        <v>253</v>
      </c>
    </row>
    <row r="44" spans="1:6" ht="28.8" x14ac:dyDescent="0.3">
      <c r="A44" s="92"/>
      <c r="C44" s="15" t="s">
        <v>24</v>
      </c>
      <c r="D44" s="110" t="s">
        <v>265</v>
      </c>
      <c r="E44" s="18" t="s">
        <v>25</v>
      </c>
      <c r="F44" s="107" t="s">
        <v>254</v>
      </c>
    </row>
    <row r="45" spans="1:6" ht="45" customHeight="1" x14ac:dyDescent="0.3">
      <c r="A45" s="92"/>
      <c r="C45" s="15" t="s">
        <v>26</v>
      </c>
      <c r="D45" s="108" t="s">
        <v>250</v>
      </c>
      <c r="E45" s="18" t="s">
        <v>27</v>
      </c>
      <c r="F45" s="107" t="s">
        <v>255</v>
      </c>
    </row>
    <row r="46" spans="1:6" ht="100.5" customHeight="1" x14ac:dyDescent="0.3">
      <c r="A46" s="92"/>
      <c r="C46" s="15" t="s">
        <v>28</v>
      </c>
      <c r="D46" s="109" t="s">
        <v>251</v>
      </c>
      <c r="E46" s="18" t="s">
        <v>29</v>
      </c>
      <c r="F46" s="107" t="s">
        <v>256</v>
      </c>
    </row>
    <row r="47" spans="1:6" ht="75" customHeight="1" x14ac:dyDescent="0.3">
      <c r="A47" s="92"/>
      <c r="C47" s="17" t="s">
        <v>30</v>
      </c>
      <c r="D47" s="107" t="s">
        <v>252</v>
      </c>
      <c r="E47" s="19" t="s">
        <v>31</v>
      </c>
      <c r="F47" s="107" t="s">
        <v>32</v>
      </c>
    </row>
    <row r="48" spans="1:6" ht="61.2" x14ac:dyDescent="0.3">
      <c r="A48" s="72"/>
      <c r="C48" s="16" t="s">
        <v>33</v>
      </c>
      <c r="D48" s="110" t="s">
        <v>34</v>
      </c>
      <c r="E48" s="20" t="s">
        <v>35</v>
      </c>
      <c r="F48" s="107" t="s">
        <v>36</v>
      </c>
    </row>
    <row r="49" spans="1:15" ht="61.2" x14ac:dyDescent="0.3">
      <c r="A49" s="72"/>
      <c r="C49" s="16" t="s">
        <v>37</v>
      </c>
      <c r="D49" s="107" t="s">
        <v>266</v>
      </c>
      <c r="E49" s="20" t="s">
        <v>38</v>
      </c>
      <c r="F49" s="107" t="s">
        <v>267</v>
      </c>
    </row>
    <row r="50" spans="1:15" ht="61.2" x14ac:dyDescent="0.3">
      <c r="A50" s="72"/>
      <c r="C50" s="16"/>
      <c r="D50" s="107"/>
      <c r="E50" s="20" t="s">
        <v>39</v>
      </c>
      <c r="F50" s="107" t="s">
        <v>40</v>
      </c>
    </row>
    <row r="53" spans="1:15" ht="14.55" customHeight="1" x14ac:dyDescent="0.3">
      <c r="A53" s="92">
        <v>5</v>
      </c>
      <c r="C53" s="111" t="s">
        <v>41</v>
      </c>
    </row>
    <row r="54" spans="1:15" ht="15" customHeight="1" thickBot="1" x14ac:dyDescent="0.35">
      <c r="A54" s="92"/>
    </row>
    <row r="55" spans="1:15" ht="15" customHeight="1" thickBot="1" x14ac:dyDescent="0.35">
      <c r="A55" s="92"/>
      <c r="D55" s="116" t="s">
        <v>42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8"/>
    </row>
    <row r="56" spans="1:15" ht="15" customHeight="1" thickBot="1" x14ac:dyDescent="0.35">
      <c r="A56" s="92"/>
      <c r="C56" s="119" t="s">
        <v>43</v>
      </c>
      <c r="D56" s="120"/>
      <c r="E56" s="120"/>
      <c r="F56" s="120"/>
      <c r="G56" s="121"/>
      <c r="H56" s="119" t="s">
        <v>44</v>
      </c>
      <c r="I56" s="120"/>
      <c r="J56" s="120"/>
      <c r="K56" s="121"/>
      <c r="L56" s="119" t="s">
        <v>45</v>
      </c>
      <c r="M56" s="120"/>
      <c r="N56" s="120"/>
      <c r="O56" s="121"/>
    </row>
    <row r="57" spans="1:15" ht="14.55" customHeight="1" x14ac:dyDescent="0.3">
      <c r="A57" s="92"/>
      <c r="C57" s="122" t="s">
        <v>46</v>
      </c>
      <c r="D57" s="123" t="s">
        <v>47</v>
      </c>
      <c r="E57" s="124" t="s">
        <v>48</v>
      </c>
      <c r="F57" s="124" t="s">
        <v>49</v>
      </c>
      <c r="G57" s="125" t="s">
        <v>50</v>
      </c>
      <c r="H57" s="123" t="s">
        <v>47</v>
      </c>
      <c r="I57" s="124" t="s">
        <v>48</v>
      </c>
      <c r="J57" s="124" t="s">
        <v>49</v>
      </c>
      <c r="K57" s="125" t="s">
        <v>50</v>
      </c>
      <c r="L57" s="123" t="s">
        <v>47</v>
      </c>
      <c r="M57" s="124" t="s">
        <v>48</v>
      </c>
      <c r="N57" s="124" t="s">
        <v>49</v>
      </c>
      <c r="O57" s="125" t="s">
        <v>50</v>
      </c>
    </row>
    <row r="58" spans="1:15" ht="14.55" customHeight="1" x14ac:dyDescent="0.3">
      <c r="A58" s="92"/>
      <c r="C58" s="126" t="s">
        <v>51</v>
      </c>
      <c r="D58" s="127">
        <v>370</v>
      </c>
      <c r="E58" s="111">
        <v>303</v>
      </c>
      <c r="G58" s="128"/>
      <c r="H58" s="127">
        <v>9</v>
      </c>
      <c r="I58" s="129">
        <v>3</v>
      </c>
      <c r="J58" s="129">
        <v>6</v>
      </c>
      <c r="K58" s="128">
        <v>0</v>
      </c>
      <c r="L58" s="127">
        <v>9</v>
      </c>
      <c r="M58" s="111">
        <v>2</v>
      </c>
      <c r="N58" s="111">
        <v>7</v>
      </c>
      <c r="O58" s="128">
        <v>0</v>
      </c>
    </row>
    <row r="59" spans="1:15" ht="14.55" customHeight="1" x14ac:dyDescent="0.3">
      <c r="A59" s="92"/>
      <c r="C59" s="126" t="s">
        <v>9</v>
      </c>
      <c r="D59" s="127">
        <v>413</v>
      </c>
      <c r="E59" s="111">
        <v>363</v>
      </c>
      <c r="G59" s="128"/>
      <c r="H59" s="127">
        <v>170</v>
      </c>
      <c r="I59" s="111">
        <v>33</v>
      </c>
      <c r="J59" s="111">
        <v>134</v>
      </c>
      <c r="K59" s="128">
        <v>3</v>
      </c>
      <c r="L59" s="127">
        <v>170</v>
      </c>
      <c r="M59" s="111">
        <v>20</v>
      </c>
      <c r="N59" s="111">
        <v>150</v>
      </c>
      <c r="O59" s="128">
        <v>3</v>
      </c>
    </row>
    <row r="60" spans="1:15" ht="14.55" customHeight="1" x14ac:dyDescent="0.3">
      <c r="A60" s="92"/>
      <c r="C60" s="126" t="s">
        <v>74</v>
      </c>
      <c r="D60" s="127">
        <v>37</v>
      </c>
      <c r="E60" s="111">
        <v>25</v>
      </c>
      <c r="G60" s="128"/>
      <c r="H60" s="127">
        <v>29</v>
      </c>
      <c r="I60" s="111">
        <v>6</v>
      </c>
      <c r="J60" s="111">
        <v>23</v>
      </c>
      <c r="K60" s="128">
        <v>0</v>
      </c>
      <c r="L60" s="127">
        <v>29</v>
      </c>
      <c r="M60" s="111">
        <v>4</v>
      </c>
      <c r="N60" s="111">
        <v>25</v>
      </c>
      <c r="O60" s="128">
        <v>0</v>
      </c>
    </row>
    <row r="61" spans="1:15" ht="15" thickBot="1" x14ac:dyDescent="0.35">
      <c r="A61" s="92"/>
      <c r="C61" s="130" t="s">
        <v>52</v>
      </c>
      <c r="D61" s="131">
        <f>SUM(D58:D60)</f>
        <v>820</v>
      </c>
      <c r="E61" s="132">
        <f>E59+E60++E58</f>
        <v>691</v>
      </c>
      <c r="F61" s="132">
        <f>SUM(F58:F60)</f>
        <v>0</v>
      </c>
      <c r="G61" s="133">
        <f>SUM(G58:G60)</f>
        <v>0</v>
      </c>
      <c r="H61" s="131">
        <f>SUM(H58:H60)</f>
        <v>208</v>
      </c>
      <c r="I61" s="132">
        <f>SUM(I58:I60)</f>
        <v>42</v>
      </c>
      <c r="J61" s="132">
        <f>SUM(J58:J60)</f>
        <v>163</v>
      </c>
      <c r="K61" s="134">
        <f>SUM(K58:K60)</f>
        <v>3</v>
      </c>
      <c r="L61" s="131">
        <f>SUM(L58:L60)</f>
        <v>208</v>
      </c>
      <c r="M61" s="135">
        <f>SUM(M58:M60)</f>
        <v>26</v>
      </c>
      <c r="N61" s="132">
        <f>SUM(N58:N60)</f>
        <v>182</v>
      </c>
      <c r="O61" s="134">
        <f>SUM(O58:O60)</f>
        <v>3</v>
      </c>
    </row>
    <row r="64" spans="1:15" x14ac:dyDescent="0.3">
      <c r="A64" s="92">
        <v>6</v>
      </c>
      <c r="C64" s="111" t="s">
        <v>53</v>
      </c>
    </row>
    <row r="65" spans="1:7" ht="72" x14ac:dyDescent="0.3">
      <c r="A65" s="92"/>
      <c r="C65" s="113" t="s">
        <v>54</v>
      </c>
      <c r="D65" s="136" t="s">
        <v>268</v>
      </c>
      <c r="E65" s="137" t="s">
        <v>271</v>
      </c>
      <c r="F65" s="138"/>
      <c r="G65" s="138"/>
    </row>
    <row r="66" spans="1:7" ht="72" x14ac:dyDescent="0.3">
      <c r="A66" s="92"/>
      <c r="C66" s="113" t="s">
        <v>56</v>
      </c>
      <c r="D66" s="136" t="s">
        <v>269</v>
      </c>
      <c r="E66" s="136" t="s">
        <v>272</v>
      </c>
    </row>
    <row r="67" spans="1:7" ht="57.6" x14ac:dyDescent="0.3">
      <c r="A67" s="92"/>
      <c r="C67" s="111" t="s">
        <v>58</v>
      </c>
      <c r="D67" s="136" t="s">
        <v>270</v>
      </c>
      <c r="E67" s="136" t="s">
        <v>273</v>
      </c>
    </row>
    <row r="68" spans="1:7" x14ac:dyDescent="0.3">
      <c r="A68" s="92"/>
    </row>
    <row r="69" spans="1:7" x14ac:dyDescent="0.3">
      <c r="A69" s="92"/>
    </row>
  </sheetData>
  <mergeCells count="12">
    <mergeCell ref="A8:A14"/>
    <mergeCell ref="A21:A27"/>
    <mergeCell ref="A64:A69"/>
    <mergeCell ref="A41:A47"/>
    <mergeCell ref="A53:A61"/>
    <mergeCell ref="A30:A38"/>
    <mergeCell ref="D4:I6"/>
    <mergeCell ref="C8:D8"/>
    <mergeCell ref="C56:G56"/>
    <mergeCell ref="H56:K56"/>
    <mergeCell ref="L56:O56"/>
    <mergeCell ref="D55:O55"/>
  </mergeCells>
  <phoneticPr fontId="4" type="noConversion"/>
  <hyperlinks>
    <hyperlink ref="D33" r:id="rId1" xr:uid="{D7B019C8-8856-48CD-8DE3-961CD89E9793}"/>
    <hyperlink ref="D34" r:id="rId2" xr:uid="{91D8EEC2-4A3A-46DB-BDC5-AADD6E41F35F}"/>
    <hyperlink ref="D35" r:id="rId3" xr:uid="{75A102F2-0CDB-4A2B-848F-94B71FFC3966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37A7-FC3E-40AC-8DC3-36BBC7BEFE20}">
  <dimension ref="A1:Q43"/>
  <sheetViews>
    <sheetView showGridLines="0" topLeftCell="A10" zoomScale="117" zoomScaleNormal="117" workbookViewId="0">
      <selection activeCell="D26" sqref="D26"/>
    </sheetView>
  </sheetViews>
  <sheetFormatPr baseColWidth="10" defaultColWidth="11.44140625" defaultRowHeight="14.4" x14ac:dyDescent="0.3"/>
  <cols>
    <col min="3" max="3" width="10" bestFit="1" customWidth="1"/>
    <col min="4" max="4" width="19.77734375" bestFit="1" customWidth="1"/>
    <col min="5" max="6" width="42.44140625" style="22" hidden="1" customWidth="1"/>
    <col min="7" max="7" width="9.77734375" customWidth="1"/>
    <col min="8" max="8" width="10" customWidth="1"/>
    <col min="9" max="9" width="16.21875" customWidth="1"/>
    <col min="10" max="10" width="8.21875" customWidth="1"/>
    <col min="11" max="11" width="15" customWidth="1"/>
    <col min="12" max="12" width="11.44140625" customWidth="1"/>
    <col min="13" max="13" width="14.21875" customWidth="1"/>
    <col min="14" max="14" width="9" customWidth="1"/>
    <col min="15" max="15" width="14" customWidth="1"/>
    <col min="16" max="16" width="9.5546875" customWidth="1"/>
    <col min="17" max="17" width="13.77734375" customWidth="1"/>
  </cols>
  <sheetData>
    <row r="1" spans="1:17" x14ac:dyDescent="0.3">
      <c r="D1" s="94" t="s">
        <v>59</v>
      </c>
      <c r="E1" s="94"/>
      <c r="F1" s="94"/>
      <c r="G1" s="94"/>
      <c r="H1" s="94"/>
      <c r="I1" s="94"/>
      <c r="J1" s="94"/>
      <c r="K1" s="94"/>
    </row>
    <row r="2" spans="1:17" x14ac:dyDescent="0.3">
      <c r="D2" s="94"/>
      <c r="E2" s="94"/>
      <c r="F2" s="94"/>
      <c r="G2" s="94"/>
      <c r="H2" s="94"/>
      <c r="I2" s="94"/>
      <c r="J2" s="94"/>
      <c r="K2" s="94"/>
      <c r="L2" s="27" t="s">
        <v>55</v>
      </c>
    </row>
    <row r="4" spans="1:17" ht="14.55" customHeight="1" x14ac:dyDescent="0.3">
      <c r="H4" s="95" t="s">
        <v>60</v>
      </c>
      <c r="I4" s="95"/>
      <c r="J4" s="95"/>
      <c r="K4" s="95"/>
      <c r="L4" s="95"/>
      <c r="M4" s="25"/>
      <c r="N4" s="93"/>
      <c r="O4" s="93"/>
      <c r="P4" s="93"/>
      <c r="Q4" s="93"/>
    </row>
    <row r="5" spans="1:17" ht="43.2" customHeight="1" x14ac:dyDescent="0.3">
      <c r="A5" s="92">
        <v>7</v>
      </c>
      <c r="C5" s="26" t="s">
        <v>61</v>
      </c>
      <c r="D5" s="26" t="s">
        <v>62</v>
      </c>
      <c r="E5" s="24" t="s">
        <v>63</v>
      </c>
      <c r="F5" s="24" t="s">
        <v>64</v>
      </c>
      <c r="G5" s="26" t="s">
        <v>65</v>
      </c>
      <c r="H5" s="50" t="s">
        <v>66</v>
      </c>
      <c r="I5" s="50" t="s">
        <v>67</v>
      </c>
      <c r="J5" s="51" t="s">
        <v>5</v>
      </c>
      <c r="K5" s="52" t="s">
        <v>7</v>
      </c>
      <c r="L5" s="53" t="s">
        <v>6</v>
      </c>
      <c r="M5" s="21"/>
      <c r="N5" s="21"/>
      <c r="O5" s="21"/>
      <c r="P5" s="21"/>
      <c r="Q5" s="30"/>
    </row>
    <row r="6" spans="1:17" ht="15.75" customHeight="1" x14ac:dyDescent="0.3">
      <c r="A6" s="92"/>
      <c r="C6" s="56" t="s">
        <v>68</v>
      </c>
      <c r="D6" s="1" t="s">
        <v>69</v>
      </c>
      <c r="E6" s="3" t="s">
        <v>70</v>
      </c>
      <c r="F6" s="3" t="s">
        <v>71</v>
      </c>
      <c r="G6" s="36">
        <v>2020</v>
      </c>
      <c r="H6" s="43" t="s">
        <v>72</v>
      </c>
      <c r="I6" s="43" t="s">
        <v>72</v>
      </c>
      <c r="J6" s="43" t="s">
        <v>72</v>
      </c>
      <c r="K6" s="43"/>
      <c r="L6" s="43" t="s">
        <v>72</v>
      </c>
      <c r="M6" s="31"/>
      <c r="N6" s="31"/>
      <c r="O6" s="31"/>
      <c r="P6" s="31"/>
      <c r="Q6" s="31"/>
    </row>
    <row r="7" spans="1:17" ht="14.55" customHeight="1" x14ac:dyDescent="0.3">
      <c r="A7" s="92"/>
      <c r="C7" s="56" t="s">
        <v>73</v>
      </c>
      <c r="D7" s="1" t="s">
        <v>74</v>
      </c>
      <c r="E7" s="3" t="s">
        <v>75</v>
      </c>
      <c r="F7" s="3" t="s">
        <v>71</v>
      </c>
      <c r="G7" s="36">
        <v>2022</v>
      </c>
      <c r="H7" s="43"/>
      <c r="I7" s="43"/>
      <c r="J7" s="43" t="s">
        <v>72</v>
      </c>
      <c r="K7" s="43" t="s">
        <v>72</v>
      </c>
      <c r="L7" s="43"/>
      <c r="M7" s="31"/>
      <c r="N7" s="31"/>
      <c r="O7" s="21"/>
      <c r="P7" s="31"/>
      <c r="Q7" s="31"/>
    </row>
    <row r="8" spans="1:17" ht="14.55" customHeight="1" x14ac:dyDescent="0.3">
      <c r="A8" s="92"/>
      <c r="C8" s="1" t="s">
        <v>76</v>
      </c>
      <c r="D8" s="1" t="s">
        <v>74</v>
      </c>
      <c r="E8" s="3" t="s">
        <v>77</v>
      </c>
      <c r="F8" s="3" t="s">
        <v>71</v>
      </c>
      <c r="G8" s="36">
        <v>2021</v>
      </c>
      <c r="H8" s="49"/>
      <c r="I8" s="49"/>
      <c r="J8" s="43" t="s">
        <v>72</v>
      </c>
      <c r="K8" s="43" t="s">
        <v>72</v>
      </c>
      <c r="L8" s="43"/>
      <c r="M8" s="31"/>
      <c r="N8" s="31"/>
      <c r="O8" s="21"/>
      <c r="P8" s="21"/>
      <c r="Q8" s="31"/>
    </row>
    <row r="9" spans="1:17" ht="16.5" customHeight="1" x14ac:dyDescent="0.3">
      <c r="A9" s="92"/>
      <c r="C9" s="1" t="s">
        <v>78</v>
      </c>
      <c r="D9" s="1" t="s">
        <v>74</v>
      </c>
      <c r="E9" s="3" t="s">
        <v>79</v>
      </c>
      <c r="F9" s="3" t="s">
        <v>71</v>
      </c>
      <c r="G9" s="36">
        <v>2021</v>
      </c>
      <c r="H9" s="49"/>
      <c r="I9" s="49"/>
      <c r="J9" s="43" t="s">
        <v>72</v>
      </c>
      <c r="K9" s="49"/>
      <c r="L9" s="43" t="s">
        <v>72</v>
      </c>
      <c r="M9" s="31"/>
      <c r="N9" s="21"/>
      <c r="O9" s="21"/>
      <c r="P9" s="31"/>
      <c r="Q9" s="31"/>
    </row>
    <row r="10" spans="1:17" ht="16.5" customHeight="1" x14ac:dyDescent="0.3">
      <c r="A10" s="92"/>
      <c r="C10" s="1" t="s">
        <v>80</v>
      </c>
      <c r="D10" s="1" t="s">
        <v>74</v>
      </c>
      <c r="E10" s="3" t="s">
        <v>81</v>
      </c>
      <c r="F10" s="3" t="s">
        <v>82</v>
      </c>
      <c r="G10">
        <v>2021</v>
      </c>
      <c r="H10" s="43" t="s">
        <v>72</v>
      </c>
      <c r="I10" s="49"/>
      <c r="J10" s="43" t="s">
        <v>72</v>
      </c>
      <c r="K10" s="43"/>
      <c r="L10" s="43"/>
      <c r="M10" s="31"/>
      <c r="N10" s="21"/>
      <c r="O10" s="21"/>
      <c r="P10" s="31"/>
      <c r="Q10" s="31"/>
    </row>
    <row r="11" spans="1:17" ht="28.8" x14ac:dyDescent="0.3">
      <c r="A11" s="92"/>
      <c r="C11" s="1" t="s">
        <v>83</v>
      </c>
      <c r="D11" s="1" t="s">
        <v>74</v>
      </c>
      <c r="E11" s="3" t="s">
        <v>84</v>
      </c>
      <c r="F11" s="3" t="s">
        <v>71</v>
      </c>
      <c r="G11" s="1">
        <v>2020</v>
      </c>
      <c r="H11" s="43" t="s">
        <v>72</v>
      </c>
      <c r="I11" s="54"/>
      <c r="J11" s="54"/>
      <c r="K11" s="43" t="s">
        <v>72</v>
      </c>
      <c r="L11" s="55"/>
      <c r="M11" s="31"/>
      <c r="N11" s="21"/>
      <c r="O11" s="21"/>
      <c r="P11" s="31"/>
      <c r="Q11" s="31"/>
    </row>
    <row r="12" spans="1:17" ht="28.8" x14ac:dyDescent="0.3">
      <c r="C12" s="1" t="s">
        <v>85</v>
      </c>
      <c r="D12" s="1" t="s">
        <v>74</v>
      </c>
      <c r="E12" s="3" t="s">
        <v>86</v>
      </c>
      <c r="F12" s="3" t="s">
        <v>82</v>
      </c>
      <c r="G12" s="1">
        <v>2020</v>
      </c>
      <c r="H12" s="43" t="s">
        <v>72</v>
      </c>
      <c r="I12" s="26"/>
      <c r="J12" s="43" t="s">
        <v>72</v>
      </c>
      <c r="K12" s="32"/>
      <c r="L12" s="43" t="s">
        <v>72</v>
      </c>
      <c r="M12" s="31"/>
      <c r="N12" s="21"/>
      <c r="O12" s="31"/>
      <c r="P12" s="21"/>
      <c r="Q12" s="31"/>
    </row>
    <row r="13" spans="1:17" ht="28.8" x14ac:dyDescent="0.3">
      <c r="C13" s="1" t="s">
        <v>87</v>
      </c>
      <c r="D13" s="1" t="s">
        <v>74</v>
      </c>
      <c r="E13" s="3" t="s">
        <v>88</v>
      </c>
      <c r="F13" s="3" t="s">
        <v>82</v>
      </c>
      <c r="G13" s="1">
        <v>2018</v>
      </c>
      <c r="H13" s="43" t="s">
        <v>72</v>
      </c>
      <c r="I13" s="26"/>
      <c r="J13" s="43" t="s">
        <v>72</v>
      </c>
      <c r="K13" s="43" t="s">
        <v>72</v>
      </c>
      <c r="L13" s="43" t="s">
        <v>72</v>
      </c>
      <c r="M13" s="21"/>
      <c r="N13" s="21"/>
      <c r="O13" s="21"/>
      <c r="P13" s="31"/>
      <c r="Q13" s="21"/>
    </row>
    <row r="14" spans="1:17" ht="57.6" x14ac:dyDescent="0.3">
      <c r="C14" s="1" t="s">
        <v>89</v>
      </c>
      <c r="D14" s="1" t="s">
        <v>74</v>
      </c>
      <c r="E14" s="3" t="s">
        <v>90</v>
      </c>
      <c r="F14" s="3" t="s">
        <v>82</v>
      </c>
      <c r="G14" s="1">
        <v>2015</v>
      </c>
      <c r="H14" s="43"/>
      <c r="I14" s="43"/>
      <c r="J14" s="43"/>
      <c r="K14" s="43" t="s">
        <v>72</v>
      </c>
      <c r="L14" s="43" t="s">
        <v>72</v>
      </c>
      <c r="M14" s="21"/>
      <c r="N14" s="21"/>
      <c r="O14" s="21"/>
      <c r="P14" s="31"/>
      <c r="Q14" s="21"/>
    </row>
    <row r="15" spans="1:17" ht="43.2" x14ac:dyDescent="0.3">
      <c r="C15" s="56" t="s">
        <v>91</v>
      </c>
      <c r="D15" s="1" t="s">
        <v>92</v>
      </c>
      <c r="E15" s="3" t="s">
        <v>93</v>
      </c>
      <c r="F15" s="3" t="s">
        <v>71</v>
      </c>
      <c r="G15" s="1">
        <v>2023</v>
      </c>
      <c r="H15" s="43" t="s">
        <v>72</v>
      </c>
      <c r="I15" s="43"/>
      <c r="J15" s="43" t="s">
        <v>72</v>
      </c>
      <c r="K15" s="32"/>
      <c r="L15" s="43"/>
      <c r="M15" s="31"/>
      <c r="N15" s="21"/>
      <c r="O15" s="31"/>
      <c r="P15" s="31"/>
      <c r="Q15" s="31"/>
    </row>
    <row r="16" spans="1:17" x14ac:dyDescent="0.3">
      <c r="C16" s="1" t="s">
        <v>94</v>
      </c>
      <c r="D16" s="1" t="s">
        <v>92</v>
      </c>
      <c r="E16" s="3" t="s">
        <v>95</v>
      </c>
      <c r="F16" s="3" t="s">
        <v>82</v>
      </c>
      <c r="G16" s="1">
        <v>2021</v>
      </c>
      <c r="H16" s="43" t="s">
        <v>72</v>
      </c>
      <c r="I16" s="26"/>
      <c r="J16" s="43" t="s">
        <v>72</v>
      </c>
      <c r="K16" s="43" t="s">
        <v>72</v>
      </c>
      <c r="L16" s="43" t="s">
        <v>72</v>
      </c>
      <c r="M16" s="31"/>
      <c r="N16" s="21"/>
      <c r="O16" s="31"/>
      <c r="P16" s="31"/>
      <c r="Q16" s="21"/>
    </row>
    <row r="17" spans="3:17" ht="28.8" x14ac:dyDescent="0.3">
      <c r="C17" s="1" t="s">
        <v>96</v>
      </c>
      <c r="D17" s="1" t="s">
        <v>92</v>
      </c>
      <c r="E17" s="3" t="s">
        <v>97</v>
      </c>
      <c r="F17" s="3" t="s">
        <v>98</v>
      </c>
      <c r="G17" s="1">
        <v>2019</v>
      </c>
      <c r="H17" s="43" t="s">
        <v>72</v>
      </c>
      <c r="I17" s="26"/>
      <c r="J17" s="43" t="s">
        <v>72</v>
      </c>
      <c r="K17" s="43" t="s">
        <v>72</v>
      </c>
      <c r="L17" s="43" t="s">
        <v>72</v>
      </c>
      <c r="M17" s="31"/>
      <c r="N17" s="31"/>
      <c r="O17" s="31"/>
      <c r="P17" s="21"/>
      <c r="Q17" s="21"/>
    </row>
    <row r="18" spans="3:17" ht="28.8" x14ac:dyDescent="0.3">
      <c r="C18" s="56" t="s">
        <v>99</v>
      </c>
      <c r="D18" s="1" t="s">
        <v>100</v>
      </c>
      <c r="E18" s="3" t="s">
        <v>101</v>
      </c>
      <c r="F18" s="3" t="s">
        <v>98</v>
      </c>
      <c r="G18" s="1">
        <v>2023</v>
      </c>
      <c r="H18" s="26"/>
      <c r="I18" s="26"/>
      <c r="J18" s="26"/>
      <c r="K18" s="43" t="s">
        <v>72</v>
      </c>
      <c r="L18" s="43"/>
      <c r="M18" s="31"/>
      <c r="N18" s="21"/>
      <c r="O18" s="21"/>
      <c r="P18" s="31"/>
      <c r="Q18" s="21"/>
    </row>
    <row r="19" spans="3:17" ht="28.8" x14ac:dyDescent="0.3">
      <c r="C19" s="1" t="s">
        <v>102</v>
      </c>
      <c r="D19" s="1" t="s">
        <v>100</v>
      </c>
      <c r="E19" s="3" t="s">
        <v>103</v>
      </c>
      <c r="F19" s="3" t="s">
        <v>71</v>
      </c>
      <c r="G19" s="1">
        <v>2018</v>
      </c>
      <c r="H19" s="43" t="s">
        <v>72</v>
      </c>
      <c r="I19" s="26"/>
      <c r="J19" s="43" t="s">
        <v>72</v>
      </c>
      <c r="K19" s="32"/>
      <c r="L19" s="43" t="s">
        <v>72</v>
      </c>
      <c r="M19" s="31"/>
      <c r="N19" s="21"/>
      <c r="O19" s="21"/>
      <c r="P19" s="31"/>
      <c r="Q19" s="31"/>
    </row>
    <row r="20" spans="3:17" ht="43.2" x14ac:dyDescent="0.3">
      <c r="C20" s="56" t="s">
        <v>104</v>
      </c>
      <c r="D20" s="1" t="s">
        <v>9</v>
      </c>
      <c r="E20" s="3" t="s">
        <v>105</v>
      </c>
      <c r="F20" s="3" t="s">
        <v>71</v>
      </c>
      <c r="G20" s="1">
        <v>2023</v>
      </c>
      <c r="H20" s="43" t="s">
        <v>72</v>
      </c>
      <c r="I20" s="26"/>
      <c r="J20" s="43" t="s">
        <v>72</v>
      </c>
      <c r="K20" s="43" t="s">
        <v>72</v>
      </c>
      <c r="L20" s="43"/>
      <c r="M20" s="31"/>
      <c r="N20" s="21"/>
      <c r="O20" s="21"/>
      <c r="P20" s="21"/>
      <c r="Q20" s="31"/>
    </row>
    <row r="21" spans="3:17" ht="28.8" x14ac:dyDescent="0.3">
      <c r="C21" s="1" t="s">
        <v>106</v>
      </c>
      <c r="D21" s="1" t="s">
        <v>9</v>
      </c>
      <c r="E21" s="3" t="s">
        <v>107</v>
      </c>
      <c r="F21" s="3" t="s">
        <v>71</v>
      </c>
      <c r="G21" s="1">
        <v>2023</v>
      </c>
      <c r="H21" s="26"/>
      <c r="I21" s="26"/>
      <c r="J21" s="43" t="s">
        <v>72</v>
      </c>
      <c r="K21" s="43" t="s">
        <v>72</v>
      </c>
      <c r="L21" s="43"/>
      <c r="M21" s="21"/>
      <c r="N21" s="31"/>
      <c r="O21" s="21"/>
      <c r="P21" s="21"/>
      <c r="Q21" s="21"/>
    </row>
    <row r="22" spans="3:17" ht="43.2" x14ac:dyDescent="0.3">
      <c r="C22" s="1" t="s">
        <v>108</v>
      </c>
      <c r="D22" s="1" t="s">
        <v>9</v>
      </c>
      <c r="E22" s="3" t="s">
        <v>109</v>
      </c>
      <c r="F22" s="3" t="s">
        <v>98</v>
      </c>
      <c r="G22" s="1">
        <v>2023</v>
      </c>
      <c r="H22" s="43" t="s">
        <v>72</v>
      </c>
      <c r="I22" s="26"/>
      <c r="J22" s="43" t="s">
        <v>72</v>
      </c>
      <c r="K22" s="43" t="s">
        <v>72</v>
      </c>
      <c r="L22" s="43" t="s">
        <v>72</v>
      </c>
      <c r="M22" s="31"/>
      <c r="N22" s="21"/>
      <c r="O22" s="31"/>
      <c r="P22" s="31"/>
      <c r="Q22" s="21"/>
    </row>
    <row r="23" spans="3:17" ht="43.2" x14ac:dyDescent="0.3">
      <c r="C23" s="1" t="s">
        <v>110</v>
      </c>
      <c r="D23" s="1" t="s">
        <v>9</v>
      </c>
      <c r="E23" s="3" t="s">
        <v>111</v>
      </c>
      <c r="F23" s="3" t="s">
        <v>82</v>
      </c>
      <c r="G23" s="1">
        <v>2023</v>
      </c>
      <c r="H23" s="23"/>
      <c r="I23" s="26"/>
      <c r="J23" s="43" t="s">
        <v>72</v>
      </c>
      <c r="K23" s="43" t="s">
        <v>72</v>
      </c>
      <c r="L23" s="43" t="s">
        <v>72</v>
      </c>
      <c r="M23" s="31"/>
      <c r="N23" s="31"/>
      <c r="O23" s="21"/>
      <c r="P23" s="21"/>
      <c r="Q23" s="21"/>
    </row>
    <row r="24" spans="3:17" ht="28.8" x14ac:dyDescent="0.3">
      <c r="C24" s="45" t="s">
        <v>112</v>
      </c>
      <c r="D24" s="1" t="s">
        <v>9</v>
      </c>
      <c r="E24" s="3" t="s">
        <v>113</v>
      </c>
      <c r="F24" s="3" t="s">
        <v>71</v>
      </c>
      <c r="G24" s="4">
        <v>2023</v>
      </c>
      <c r="H24" s="43" t="s">
        <v>72</v>
      </c>
      <c r="I24" s="26"/>
      <c r="J24" s="43" t="s">
        <v>72</v>
      </c>
      <c r="K24" s="43" t="s">
        <v>72</v>
      </c>
      <c r="L24" s="43"/>
      <c r="M24" s="31"/>
      <c r="N24" s="31"/>
      <c r="O24" s="21"/>
      <c r="P24" s="31"/>
      <c r="Q24" s="21"/>
    </row>
    <row r="25" spans="3:17" ht="28.8" x14ac:dyDescent="0.3">
      <c r="C25" s="45" t="s">
        <v>114</v>
      </c>
      <c r="D25" s="1" t="s">
        <v>9</v>
      </c>
      <c r="E25" s="3" t="s">
        <v>115</v>
      </c>
      <c r="F25" s="3" t="s">
        <v>71</v>
      </c>
      <c r="G25" s="6">
        <v>2023</v>
      </c>
      <c r="H25" s="23"/>
      <c r="I25" s="26"/>
      <c r="J25" s="43" t="s">
        <v>72</v>
      </c>
      <c r="K25" s="43" t="s">
        <v>72</v>
      </c>
      <c r="L25" s="43" t="s">
        <v>72</v>
      </c>
      <c r="M25" s="31"/>
      <c r="N25" s="31"/>
      <c r="O25" s="21"/>
      <c r="P25" s="31"/>
      <c r="Q25" s="21"/>
    </row>
    <row r="26" spans="3:17" ht="18" customHeight="1" x14ac:dyDescent="0.3">
      <c r="C26" s="46" t="s">
        <v>116</v>
      </c>
      <c r="D26" s="1" t="s">
        <v>9</v>
      </c>
      <c r="E26" s="5" t="s">
        <v>117</v>
      </c>
      <c r="F26" s="5" t="s">
        <v>82</v>
      </c>
      <c r="G26" s="6">
        <v>2023</v>
      </c>
      <c r="H26" s="43" t="s">
        <v>72</v>
      </c>
      <c r="I26" s="29"/>
      <c r="J26" s="43" t="s">
        <v>72</v>
      </c>
      <c r="K26" s="44"/>
      <c r="L26" s="43" t="s">
        <v>72</v>
      </c>
      <c r="M26" s="31"/>
      <c r="N26" s="31"/>
      <c r="O26" s="21"/>
      <c r="P26" s="31"/>
      <c r="Q26" s="21"/>
    </row>
    <row r="27" spans="3:17" x14ac:dyDescent="0.3">
      <c r="C27" s="47" t="s">
        <v>118</v>
      </c>
      <c r="D27" s="1" t="s">
        <v>9</v>
      </c>
      <c r="E27" s="28"/>
      <c r="F27" s="28"/>
      <c r="G27" s="6">
        <v>2023</v>
      </c>
      <c r="H27" s="43" t="s">
        <v>72</v>
      </c>
      <c r="I27" s="6"/>
      <c r="J27" s="43" t="s">
        <v>72</v>
      </c>
      <c r="K27" s="7"/>
      <c r="L27" s="6"/>
    </row>
    <row r="28" spans="3:17" x14ac:dyDescent="0.3">
      <c r="C28" s="47" t="s">
        <v>119</v>
      </c>
      <c r="D28" s="1" t="s">
        <v>9</v>
      </c>
      <c r="E28" s="28"/>
      <c r="F28" s="28"/>
      <c r="G28" s="6">
        <v>2022</v>
      </c>
      <c r="H28" s="43" t="s">
        <v>72</v>
      </c>
      <c r="I28" s="6"/>
      <c r="J28" s="43" t="s">
        <v>72</v>
      </c>
      <c r="K28" s="7"/>
      <c r="L28" s="6"/>
    </row>
    <row r="29" spans="3:17" x14ac:dyDescent="0.3">
      <c r="C29" s="47" t="s">
        <v>120</v>
      </c>
      <c r="D29" s="1" t="s">
        <v>9</v>
      </c>
      <c r="E29" s="28"/>
      <c r="F29" s="28"/>
      <c r="G29" s="6">
        <v>2022</v>
      </c>
      <c r="H29" s="43" t="s">
        <v>72</v>
      </c>
      <c r="I29" s="6"/>
      <c r="J29" s="43" t="s">
        <v>72</v>
      </c>
      <c r="K29" s="43" t="s">
        <v>72</v>
      </c>
      <c r="L29" s="43" t="s">
        <v>72</v>
      </c>
    </row>
    <row r="30" spans="3:17" x14ac:dyDescent="0.3">
      <c r="C30" s="47" t="s">
        <v>121</v>
      </c>
      <c r="D30" s="1" t="s">
        <v>9</v>
      </c>
      <c r="E30" s="28"/>
      <c r="F30" s="28"/>
      <c r="G30" s="6">
        <v>2022</v>
      </c>
      <c r="H30" s="43" t="s">
        <v>72</v>
      </c>
      <c r="I30" s="6"/>
      <c r="J30" s="43" t="s">
        <v>72</v>
      </c>
      <c r="K30" s="43" t="s">
        <v>72</v>
      </c>
      <c r="L30" s="43" t="s">
        <v>72</v>
      </c>
    </row>
    <row r="31" spans="3:17" x14ac:dyDescent="0.3">
      <c r="C31" s="47" t="s">
        <v>122</v>
      </c>
      <c r="D31" s="1" t="s">
        <v>9</v>
      </c>
      <c r="E31" s="28"/>
      <c r="F31" s="28"/>
      <c r="G31" s="6">
        <v>2022</v>
      </c>
      <c r="H31" s="6"/>
      <c r="I31" s="6"/>
      <c r="J31" s="43" t="s">
        <v>72</v>
      </c>
      <c r="K31" s="7"/>
      <c r="L31" s="6"/>
    </row>
    <row r="32" spans="3:17" x14ac:dyDescent="0.3">
      <c r="C32" s="47" t="s">
        <v>123</v>
      </c>
      <c r="D32" s="1" t="s">
        <v>9</v>
      </c>
      <c r="E32" s="28"/>
      <c r="F32" s="28"/>
      <c r="G32" s="6">
        <v>2022</v>
      </c>
      <c r="H32" s="43" t="s">
        <v>72</v>
      </c>
      <c r="I32" s="6"/>
      <c r="J32" s="43" t="s">
        <v>72</v>
      </c>
      <c r="K32" s="7"/>
      <c r="L32" s="6"/>
    </row>
    <row r="33" spans="3:12" x14ac:dyDescent="0.3">
      <c r="C33" s="47" t="s">
        <v>124</v>
      </c>
      <c r="D33" s="1" t="s">
        <v>9</v>
      </c>
      <c r="E33" s="28"/>
      <c r="F33" s="28"/>
      <c r="G33" s="6">
        <v>2022</v>
      </c>
      <c r="H33" s="43" t="s">
        <v>72</v>
      </c>
      <c r="I33" s="6"/>
      <c r="J33" s="6"/>
      <c r="K33" s="7"/>
      <c r="L33" s="6"/>
    </row>
    <row r="34" spans="3:12" x14ac:dyDescent="0.3">
      <c r="C34" s="47" t="s">
        <v>125</v>
      </c>
      <c r="D34" s="1" t="s">
        <v>9</v>
      </c>
      <c r="E34" s="28"/>
      <c r="F34" s="28"/>
      <c r="G34" s="6">
        <v>2022</v>
      </c>
      <c r="H34" s="43" t="s">
        <v>72</v>
      </c>
      <c r="I34" s="6"/>
      <c r="J34" s="43" t="s">
        <v>72</v>
      </c>
      <c r="K34" s="43" t="s">
        <v>72</v>
      </c>
      <c r="L34" s="6"/>
    </row>
    <row r="35" spans="3:12" x14ac:dyDescent="0.3">
      <c r="C35" s="47" t="s">
        <v>126</v>
      </c>
      <c r="D35" s="1" t="s">
        <v>9</v>
      </c>
      <c r="E35" s="28"/>
      <c r="F35" s="28"/>
      <c r="G35" s="6">
        <v>2021</v>
      </c>
      <c r="H35" s="43" t="s">
        <v>72</v>
      </c>
      <c r="I35" s="6"/>
      <c r="J35" s="6"/>
      <c r="K35" s="7"/>
      <c r="L35" s="6"/>
    </row>
    <row r="36" spans="3:12" x14ac:dyDescent="0.3">
      <c r="C36" s="47" t="s">
        <v>127</v>
      </c>
      <c r="D36" s="1" t="s">
        <v>9</v>
      </c>
      <c r="E36" s="28"/>
      <c r="F36" s="28"/>
      <c r="G36" s="6">
        <v>2021</v>
      </c>
      <c r="H36" s="43" t="s">
        <v>72</v>
      </c>
      <c r="I36" s="43"/>
      <c r="J36" s="43" t="s">
        <v>72</v>
      </c>
      <c r="K36" s="43" t="s">
        <v>72</v>
      </c>
      <c r="L36" s="43" t="s">
        <v>72</v>
      </c>
    </row>
    <row r="37" spans="3:12" x14ac:dyDescent="0.3">
      <c r="C37" s="47" t="s">
        <v>128</v>
      </c>
      <c r="D37" s="1" t="s">
        <v>9</v>
      </c>
      <c r="E37" s="28"/>
      <c r="F37" s="28"/>
      <c r="G37" s="9">
        <v>2020</v>
      </c>
      <c r="H37" s="43" t="s">
        <v>72</v>
      </c>
      <c r="I37" s="6"/>
      <c r="J37" s="6"/>
      <c r="K37" s="43" t="s">
        <v>72</v>
      </c>
      <c r="L37" s="6"/>
    </row>
    <row r="38" spans="3:12" x14ac:dyDescent="0.3">
      <c r="C38" s="47" t="s">
        <v>129</v>
      </c>
      <c r="D38" s="1" t="s">
        <v>9</v>
      </c>
      <c r="E38" s="28"/>
      <c r="F38" s="33"/>
      <c r="G38" s="6">
        <v>2018</v>
      </c>
      <c r="H38" s="43" t="s">
        <v>72</v>
      </c>
      <c r="I38" s="6"/>
      <c r="J38" s="6"/>
      <c r="K38" s="43" t="s">
        <v>72</v>
      </c>
      <c r="L38" s="6"/>
    </row>
    <row r="39" spans="3:12" x14ac:dyDescent="0.3">
      <c r="C39" s="47" t="s">
        <v>130</v>
      </c>
      <c r="D39" s="1" t="s">
        <v>9</v>
      </c>
      <c r="E39" s="28"/>
      <c r="F39" s="33"/>
      <c r="G39" s="6">
        <v>2018</v>
      </c>
      <c r="H39" s="34"/>
      <c r="I39" s="6"/>
      <c r="J39" s="6"/>
      <c r="K39" s="7"/>
      <c r="L39" s="6"/>
    </row>
    <row r="40" spans="3:12" x14ac:dyDescent="0.3">
      <c r="C40" s="57" t="s">
        <v>131</v>
      </c>
      <c r="D40" s="6" t="s">
        <v>132</v>
      </c>
      <c r="E40" s="28"/>
      <c r="F40" s="28"/>
      <c r="G40" s="35">
        <v>2023</v>
      </c>
      <c r="H40" s="43" t="s">
        <v>72</v>
      </c>
      <c r="I40" s="6"/>
      <c r="J40" s="43" t="s">
        <v>72</v>
      </c>
      <c r="K40" s="7"/>
      <c r="L40" s="43" t="s">
        <v>72</v>
      </c>
    </row>
    <row r="41" spans="3:12" x14ac:dyDescent="0.3">
      <c r="C41" s="47" t="s">
        <v>133</v>
      </c>
      <c r="D41" s="6" t="s">
        <v>132</v>
      </c>
      <c r="E41" s="28"/>
      <c r="F41" s="28"/>
      <c r="G41" s="6">
        <v>2020</v>
      </c>
      <c r="H41" s="43" t="s">
        <v>72</v>
      </c>
      <c r="I41" s="43" t="s">
        <v>72</v>
      </c>
      <c r="J41" s="43" t="s">
        <v>72</v>
      </c>
      <c r="K41" s="7"/>
      <c r="L41" s="43" t="s">
        <v>72</v>
      </c>
    </row>
    <row r="42" spans="3:12" x14ac:dyDescent="0.3">
      <c r="C42" s="47" t="s">
        <v>134</v>
      </c>
      <c r="D42" s="6" t="s">
        <v>132</v>
      </c>
      <c r="E42" s="28"/>
      <c r="F42" s="28"/>
      <c r="G42" s="6">
        <v>2020</v>
      </c>
      <c r="H42" s="43" t="s">
        <v>72</v>
      </c>
      <c r="I42" s="43"/>
      <c r="J42" s="43" t="s">
        <v>72</v>
      </c>
      <c r="K42" s="43" t="s">
        <v>72</v>
      </c>
      <c r="L42" s="43" t="s">
        <v>72</v>
      </c>
    </row>
    <row r="43" spans="3:12" x14ac:dyDescent="0.3">
      <c r="C43" s="47" t="s">
        <v>135</v>
      </c>
      <c r="D43" s="6" t="s">
        <v>132</v>
      </c>
      <c r="E43" s="28"/>
      <c r="F43" s="28"/>
      <c r="G43" s="6">
        <v>2020</v>
      </c>
      <c r="H43" s="43" t="s">
        <v>72</v>
      </c>
      <c r="I43" s="6"/>
      <c r="J43" s="43" t="s">
        <v>72</v>
      </c>
      <c r="K43" s="7"/>
      <c r="L43" s="43" t="s">
        <v>72</v>
      </c>
    </row>
  </sheetData>
  <mergeCells count="4">
    <mergeCell ref="A5:A11"/>
    <mergeCell ref="N4:Q4"/>
    <mergeCell ref="D1:K2"/>
    <mergeCell ref="H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5EC6-624E-4793-93E7-EDE9E1ADFE71}">
  <dimension ref="A2:AD46"/>
  <sheetViews>
    <sheetView showGridLines="0" zoomScale="72" zoomScaleNormal="72" workbookViewId="0">
      <pane xSplit="2" ySplit="7" topLeftCell="C8" activePane="bottomRight" state="frozen"/>
      <selection pane="topRight"/>
      <selection pane="bottomLeft"/>
      <selection pane="bottomRight" activeCell="R11" sqref="R11"/>
    </sheetView>
  </sheetViews>
  <sheetFormatPr baseColWidth="10" defaultColWidth="11.44140625" defaultRowHeight="14.4" x14ac:dyDescent="0.3"/>
  <cols>
    <col min="2" max="2" width="4.5546875" customWidth="1"/>
    <col min="3" max="4" width="18" customWidth="1"/>
    <col min="5" max="5" width="30.21875" style="64" customWidth="1"/>
    <col min="6" max="6" width="8.21875" style="77" customWidth="1"/>
    <col min="7" max="7" width="55.77734375" hidden="1" customWidth="1"/>
    <col min="8" max="8" width="53.77734375" hidden="1" customWidth="1"/>
    <col min="9" max="9" width="18" customWidth="1"/>
    <col min="10" max="10" width="11.21875" customWidth="1"/>
    <col min="11" max="11" width="14.5546875" customWidth="1"/>
    <col min="12" max="12" width="17" customWidth="1"/>
    <col min="13" max="17" width="11.21875" customWidth="1"/>
    <col min="18" max="23" width="13.77734375" customWidth="1"/>
    <col min="24" max="24" width="10.77734375" customWidth="1"/>
    <col min="25" max="25" width="12.5546875" customWidth="1"/>
    <col min="26" max="26" width="10.21875" customWidth="1"/>
    <col min="27" max="28" width="12.44140625" customWidth="1"/>
    <col min="29" max="29" width="14" customWidth="1"/>
    <col min="30" max="30" width="11.44140625" style="22"/>
  </cols>
  <sheetData>
    <row r="2" spans="1:29" x14ac:dyDescent="0.3">
      <c r="A2" s="92">
        <v>8</v>
      </c>
      <c r="C2" s="90" t="s">
        <v>136</v>
      </c>
      <c r="D2" s="90"/>
      <c r="E2" s="90"/>
      <c r="F2" s="90"/>
      <c r="G2" s="90"/>
      <c r="H2" s="90"/>
      <c r="I2" t="s">
        <v>57</v>
      </c>
    </row>
    <row r="3" spans="1:29" x14ac:dyDescent="0.3">
      <c r="A3" s="92"/>
      <c r="C3" s="90"/>
      <c r="D3" s="90"/>
      <c r="E3" s="90"/>
      <c r="F3" s="90"/>
      <c r="G3" s="90"/>
      <c r="H3" s="90"/>
    </row>
    <row r="4" spans="1:29" x14ac:dyDescent="0.3">
      <c r="A4" s="92"/>
      <c r="L4" t="s">
        <v>137</v>
      </c>
    </row>
    <row r="5" spans="1:29" x14ac:dyDescent="0.3">
      <c r="A5" s="92"/>
      <c r="I5" s="102" t="s">
        <v>138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 ht="14.55" customHeight="1" x14ac:dyDescent="0.3">
      <c r="A6" s="92"/>
      <c r="I6" s="96" t="s">
        <v>139</v>
      </c>
      <c r="J6" s="97"/>
      <c r="K6" s="97"/>
      <c r="L6" s="97"/>
      <c r="M6" s="97"/>
      <c r="N6" s="98"/>
      <c r="O6" s="73"/>
      <c r="P6" s="73"/>
      <c r="Q6" s="73"/>
      <c r="R6" s="73"/>
      <c r="S6" s="73"/>
      <c r="T6" s="73"/>
      <c r="U6" s="73"/>
      <c r="V6" s="73"/>
      <c r="W6" s="73"/>
      <c r="X6" s="99" t="s">
        <v>140</v>
      </c>
      <c r="Y6" s="100"/>
      <c r="Z6" s="100"/>
      <c r="AA6" s="100"/>
      <c r="AB6" s="100"/>
      <c r="AC6" s="101"/>
    </row>
    <row r="7" spans="1:29" ht="17.25" customHeight="1" x14ac:dyDescent="0.3">
      <c r="A7" s="92"/>
      <c r="C7" s="2" t="s">
        <v>141</v>
      </c>
      <c r="D7" s="2" t="s">
        <v>142</v>
      </c>
      <c r="E7" s="65" t="s">
        <v>63</v>
      </c>
      <c r="F7" s="78" t="s">
        <v>65</v>
      </c>
      <c r="G7" s="2" t="s">
        <v>143</v>
      </c>
      <c r="H7" s="2" t="s">
        <v>144</v>
      </c>
      <c r="I7" s="86" t="s">
        <v>145</v>
      </c>
      <c r="J7" s="86" t="s">
        <v>146</v>
      </c>
      <c r="K7" s="87" t="s">
        <v>147</v>
      </c>
      <c r="L7" s="86" t="s">
        <v>148</v>
      </c>
      <c r="M7" s="88" t="s">
        <v>149</v>
      </c>
      <c r="N7" s="81" t="s">
        <v>150</v>
      </c>
      <c r="O7" s="6" t="s">
        <v>151</v>
      </c>
      <c r="P7" s="6" t="s">
        <v>152</v>
      </c>
      <c r="Q7" s="6" t="s">
        <v>153</v>
      </c>
      <c r="R7" s="6" t="s">
        <v>154</v>
      </c>
      <c r="S7" s="6" t="s">
        <v>155</v>
      </c>
      <c r="T7" s="6" t="s">
        <v>156</v>
      </c>
      <c r="U7" s="6" t="s">
        <v>157</v>
      </c>
      <c r="V7" s="6" t="s">
        <v>158</v>
      </c>
      <c r="W7" s="34" t="s">
        <v>159</v>
      </c>
      <c r="X7" s="60" t="s">
        <v>160</v>
      </c>
      <c r="Y7" s="8" t="s">
        <v>161</v>
      </c>
      <c r="Z7" s="8" t="s">
        <v>162</v>
      </c>
      <c r="AA7" s="8" t="s">
        <v>163</v>
      </c>
      <c r="AB7" s="8" t="s">
        <v>164</v>
      </c>
      <c r="AC7" s="8" t="s">
        <v>165</v>
      </c>
    </row>
    <row r="8" spans="1:29" ht="72" x14ac:dyDescent="0.3">
      <c r="A8" s="92"/>
      <c r="C8" s="2" t="s">
        <v>68</v>
      </c>
      <c r="D8" s="1" t="s">
        <v>69</v>
      </c>
      <c r="E8" s="75" t="s">
        <v>166</v>
      </c>
      <c r="F8" s="79">
        <v>2020</v>
      </c>
      <c r="G8" s="10" t="s">
        <v>167</v>
      </c>
      <c r="H8" s="14" t="s">
        <v>168</v>
      </c>
      <c r="I8" s="6"/>
      <c r="J8" s="6"/>
      <c r="K8" s="6"/>
      <c r="L8" s="6"/>
      <c r="M8" s="6"/>
      <c r="N8" s="59"/>
      <c r="O8" s="59"/>
      <c r="P8" s="59"/>
      <c r="Q8" s="59">
        <v>1</v>
      </c>
      <c r="R8" s="59">
        <v>1</v>
      </c>
      <c r="S8" s="59"/>
      <c r="T8" s="59"/>
      <c r="U8" s="59"/>
      <c r="V8" s="59"/>
      <c r="W8" s="59"/>
      <c r="X8" s="37"/>
      <c r="Y8" s="37">
        <v>1</v>
      </c>
      <c r="Z8" s="37"/>
      <c r="AA8" s="37">
        <v>1</v>
      </c>
      <c r="AB8" s="37"/>
      <c r="AC8" s="37"/>
    </row>
    <row r="9" spans="1:29" ht="216" x14ac:dyDescent="0.3">
      <c r="C9" s="2" t="s">
        <v>73</v>
      </c>
      <c r="D9" s="1" t="s">
        <v>74</v>
      </c>
      <c r="E9" s="66" t="s">
        <v>169</v>
      </c>
      <c r="F9" s="79">
        <v>2022</v>
      </c>
      <c r="G9" s="10" t="s">
        <v>170</v>
      </c>
      <c r="H9" s="10" t="s">
        <v>171</v>
      </c>
      <c r="I9" s="6"/>
      <c r="J9" s="6"/>
      <c r="K9" s="6"/>
      <c r="L9" s="6"/>
      <c r="M9" s="6"/>
      <c r="N9" s="7"/>
      <c r="O9" s="7"/>
      <c r="P9" s="7"/>
      <c r="Q9" s="7"/>
      <c r="R9" s="7">
        <v>1</v>
      </c>
      <c r="S9" s="7"/>
      <c r="T9" s="7"/>
      <c r="U9" s="7"/>
      <c r="V9" s="7"/>
      <c r="W9" s="7"/>
      <c r="X9" s="37"/>
      <c r="Y9" s="37">
        <v>1</v>
      </c>
      <c r="Z9" s="37"/>
      <c r="AA9" s="37">
        <v>1</v>
      </c>
      <c r="AB9" s="37"/>
      <c r="AC9" s="37"/>
    </row>
    <row r="10" spans="1:29" ht="72" x14ac:dyDescent="0.3">
      <c r="C10" s="1" t="s">
        <v>76</v>
      </c>
      <c r="D10" s="1" t="s">
        <v>74</v>
      </c>
      <c r="E10" s="66" t="s">
        <v>172</v>
      </c>
      <c r="F10" s="79">
        <v>2021</v>
      </c>
      <c r="G10" s="10" t="s">
        <v>173</v>
      </c>
      <c r="H10" s="10" t="s">
        <v>174</v>
      </c>
      <c r="I10" s="6"/>
      <c r="J10" s="6"/>
      <c r="K10" s="6"/>
      <c r="L10" s="6"/>
      <c r="M10" s="6"/>
      <c r="N10" s="7"/>
      <c r="O10" s="7"/>
      <c r="P10" s="7"/>
      <c r="Q10" s="7">
        <v>1</v>
      </c>
      <c r="R10" s="7"/>
      <c r="S10" s="7">
        <v>1</v>
      </c>
      <c r="T10" s="7"/>
      <c r="U10" s="7"/>
      <c r="V10" s="7"/>
      <c r="W10" s="7"/>
      <c r="X10" s="37"/>
      <c r="Y10" s="37">
        <v>1</v>
      </c>
      <c r="Z10" s="37"/>
      <c r="AA10" s="37">
        <v>1</v>
      </c>
      <c r="AB10" s="37"/>
      <c r="AC10" s="37"/>
    </row>
    <row r="11" spans="1:29" ht="144" x14ac:dyDescent="0.3">
      <c r="C11" s="1" t="s">
        <v>78</v>
      </c>
      <c r="D11" s="1" t="s">
        <v>74</v>
      </c>
      <c r="E11" s="66" t="s">
        <v>175</v>
      </c>
      <c r="F11" s="79">
        <v>2021</v>
      </c>
      <c r="G11" s="10" t="s">
        <v>176</v>
      </c>
      <c r="H11" s="10" t="s">
        <v>171</v>
      </c>
      <c r="I11" s="6"/>
      <c r="J11" s="6"/>
      <c r="K11" s="6"/>
      <c r="L11" s="6"/>
      <c r="M11" s="6"/>
      <c r="N11" s="7"/>
      <c r="O11" s="7"/>
      <c r="P11" s="7"/>
      <c r="Q11" s="7">
        <v>1</v>
      </c>
      <c r="R11" s="7">
        <v>1</v>
      </c>
      <c r="S11" s="7"/>
      <c r="T11" s="7"/>
      <c r="U11" s="7"/>
      <c r="V11" s="7"/>
      <c r="W11" s="7"/>
      <c r="X11" s="37"/>
      <c r="Y11" s="37">
        <v>1</v>
      </c>
      <c r="Z11" s="37"/>
      <c r="AA11" s="37">
        <v>1</v>
      </c>
      <c r="AB11" s="37">
        <v>1</v>
      </c>
      <c r="AC11" s="37"/>
    </row>
    <row r="12" spans="1:29" ht="129.6" x14ac:dyDescent="0.3">
      <c r="C12" s="1" t="s">
        <v>80</v>
      </c>
      <c r="D12" s="1" t="s">
        <v>74</v>
      </c>
      <c r="E12" s="75" t="s">
        <v>177</v>
      </c>
      <c r="F12" s="77">
        <v>2021</v>
      </c>
      <c r="G12" s="10" t="s">
        <v>178</v>
      </c>
      <c r="H12" s="10" t="s">
        <v>179</v>
      </c>
      <c r="I12" s="6"/>
      <c r="J12" s="6"/>
      <c r="K12" s="6"/>
      <c r="L12" s="6"/>
      <c r="M12" s="6"/>
      <c r="N12" s="7"/>
      <c r="O12" s="7"/>
      <c r="P12" s="7"/>
      <c r="Q12" s="7">
        <v>1</v>
      </c>
      <c r="R12" s="7">
        <v>1</v>
      </c>
      <c r="S12" s="7"/>
      <c r="T12" s="7"/>
      <c r="U12" s="7"/>
      <c r="V12" s="7"/>
      <c r="W12" s="7"/>
      <c r="X12" s="37"/>
      <c r="Y12" s="37">
        <v>1</v>
      </c>
      <c r="Z12" s="37"/>
      <c r="AA12" s="37">
        <v>1</v>
      </c>
      <c r="AB12" s="37"/>
      <c r="AC12" s="37"/>
    </row>
    <row r="13" spans="1:29" ht="57.6" x14ac:dyDescent="0.3">
      <c r="C13" s="1" t="s">
        <v>83</v>
      </c>
      <c r="D13" s="1" t="s">
        <v>74</v>
      </c>
      <c r="E13" s="66" t="s">
        <v>180</v>
      </c>
      <c r="F13" s="79">
        <v>2020</v>
      </c>
      <c r="G13" s="10" t="s">
        <v>181</v>
      </c>
      <c r="H13" s="10" t="s">
        <v>182</v>
      </c>
      <c r="I13" s="6"/>
      <c r="J13" s="6"/>
      <c r="K13" s="6"/>
      <c r="L13" s="6"/>
      <c r="M13" s="6"/>
      <c r="N13" s="7"/>
      <c r="O13" s="7"/>
      <c r="P13" s="7"/>
      <c r="Q13" s="7">
        <v>1</v>
      </c>
      <c r="R13" s="7">
        <v>1</v>
      </c>
      <c r="S13" s="7"/>
      <c r="T13" s="7"/>
      <c r="U13" s="7"/>
      <c r="V13" s="7"/>
      <c r="W13" s="7"/>
      <c r="X13" s="37"/>
      <c r="Y13" s="37">
        <v>1</v>
      </c>
      <c r="Z13" s="37"/>
      <c r="AA13" s="37">
        <v>1</v>
      </c>
      <c r="AB13" s="37"/>
      <c r="AC13" s="37"/>
    </row>
    <row r="14" spans="1:29" ht="115.2" x14ac:dyDescent="0.3">
      <c r="C14" s="1" t="s">
        <v>85</v>
      </c>
      <c r="D14" s="1" t="s">
        <v>74</v>
      </c>
      <c r="E14" s="75" t="s">
        <v>183</v>
      </c>
      <c r="F14" s="79">
        <v>2020</v>
      </c>
      <c r="G14" s="10" t="s">
        <v>184</v>
      </c>
      <c r="H14" s="10" t="s">
        <v>185</v>
      </c>
      <c r="I14" s="6"/>
      <c r="J14" s="6"/>
      <c r="K14" s="6"/>
      <c r="L14" s="6"/>
      <c r="M14" s="6"/>
      <c r="N14" s="7"/>
      <c r="O14" s="7"/>
      <c r="P14" s="7"/>
      <c r="Q14" s="7">
        <v>1</v>
      </c>
      <c r="R14" s="7">
        <v>1</v>
      </c>
      <c r="S14" s="7"/>
      <c r="T14" s="7"/>
      <c r="U14" s="7"/>
      <c r="V14" s="7"/>
      <c r="W14" s="7"/>
      <c r="X14" s="37"/>
      <c r="Y14" s="37">
        <v>1</v>
      </c>
      <c r="Z14" s="37"/>
      <c r="AA14" s="37">
        <v>1</v>
      </c>
      <c r="AB14" s="37"/>
      <c r="AC14" s="37"/>
    </row>
    <row r="15" spans="1:29" ht="57.6" x14ac:dyDescent="0.3">
      <c r="C15" s="1" t="s">
        <v>87</v>
      </c>
      <c r="D15" s="1" t="s">
        <v>74</v>
      </c>
      <c r="E15" s="66" t="s">
        <v>186</v>
      </c>
      <c r="F15" s="79">
        <v>2018</v>
      </c>
      <c r="G15" s="10" t="s">
        <v>187</v>
      </c>
      <c r="H15" s="10" t="s">
        <v>188</v>
      </c>
      <c r="I15" s="6"/>
      <c r="J15" s="6"/>
      <c r="K15" s="6"/>
      <c r="L15" s="6"/>
      <c r="M15" s="6"/>
      <c r="N15" s="7"/>
      <c r="O15" s="7"/>
      <c r="P15" s="7"/>
      <c r="Q15" s="7"/>
      <c r="R15" s="7">
        <v>1</v>
      </c>
      <c r="S15" s="7"/>
      <c r="T15" s="7"/>
      <c r="U15" s="7"/>
      <c r="V15" s="7"/>
      <c r="W15" s="7"/>
      <c r="X15" s="37"/>
      <c r="Y15" s="37"/>
      <c r="Z15" s="37"/>
      <c r="AA15" s="37">
        <v>1</v>
      </c>
      <c r="AB15" s="37"/>
      <c r="AC15" s="37"/>
    </row>
    <row r="16" spans="1:29" ht="43.2" x14ac:dyDescent="0.3">
      <c r="C16" s="1" t="s">
        <v>89</v>
      </c>
      <c r="D16" s="1" t="s">
        <v>74</v>
      </c>
      <c r="E16" s="76" t="s">
        <v>189</v>
      </c>
      <c r="F16" s="79">
        <v>2015</v>
      </c>
      <c r="G16" s="11" t="s">
        <v>190</v>
      </c>
      <c r="H16" s="11" t="s">
        <v>191</v>
      </c>
      <c r="I16" s="6"/>
      <c r="J16" s="6"/>
      <c r="K16" s="6"/>
      <c r="L16" s="6"/>
      <c r="M16" s="6"/>
      <c r="N16" s="7"/>
      <c r="O16" s="7"/>
      <c r="P16" s="7"/>
      <c r="Q16" s="7">
        <v>1</v>
      </c>
      <c r="R16" s="7"/>
      <c r="S16" s="7">
        <v>1</v>
      </c>
      <c r="T16" s="7"/>
      <c r="U16" s="7"/>
      <c r="V16" s="7"/>
      <c r="W16" s="7"/>
      <c r="X16" s="37"/>
      <c r="Y16" s="37"/>
      <c r="Z16" s="37"/>
      <c r="AA16" s="37">
        <v>1</v>
      </c>
      <c r="AB16" s="37"/>
      <c r="AC16" s="37"/>
    </row>
    <row r="17" spans="3:29" ht="43.2" x14ac:dyDescent="0.3">
      <c r="C17" s="2" t="s">
        <v>91</v>
      </c>
      <c r="D17" s="1" t="s">
        <v>92</v>
      </c>
      <c r="E17" s="67" t="s">
        <v>192</v>
      </c>
      <c r="F17" s="79">
        <v>2023</v>
      </c>
      <c r="G17" s="12" t="s">
        <v>193</v>
      </c>
      <c r="H17" s="12" t="s">
        <v>194</v>
      </c>
      <c r="I17" s="6"/>
      <c r="J17" s="6"/>
      <c r="K17" s="6"/>
      <c r="L17" s="6"/>
      <c r="M17" s="6"/>
      <c r="N17" s="7"/>
      <c r="O17" s="7"/>
      <c r="P17" s="7"/>
      <c r="Q17" s="7">
        <v>1</v>
      </c>
      <c r="R17" s="7">
        <v>1</v>
      </c>
      <c r="S17" s="7"/>
      <c r="T17" s="7"/>
      <c r="U17" s="7"/>
      <c r="V17" s="7"/>
      <c r="W17" s="7"/>
      <c r="X17" s="37"/>
      <c r="Y17" s="37"/>
      <c r="Z17" s="37"/>
      <c r="AA17" s="37">
        <v>1</v>
      </c>
      <c r="AB17" s="37"/>
      <c r="AC17" s="37"/>
    </row>
    <row r="18" spans="3:29" ht="86.4" x14ac:dyDescent="0.3">
      <c r="C18" s="1" t="s">
        <v>94</v>
      </c>
      <c r="D18" s="1" t="s">
        <v>92</v>
      </c>
      <c r="E18" s="85" t="s">
        <v>195</v>
      </c>
      <c r="F18" s="79">
        <v>2021</v>
      </c>
      <c r="G18" s="12" t="s">
        <v>196</v>
      </c>
      <c r="H18" s="12" t="s">
        <v>197</v>
      </c>
      <c r="I18" s="6"/>
      <c r="J18" s="6"/>
      <c r="K18" s="6"/>
      <c r="L18" s="6"/>
      <c r="M18" s="7">
        <v>1</v>
      </c>
      <c r="N18" s="6"/>
      <c r="O18" s="61"/>
      <c r="P18" s="7"/>
      <c r="Q18" s="7">
        <v>1</v>
      </c>
      <c r="R18" s="7">
        <v>1</v>
      </c>
      <c r="S18" s="7"/>
      <c r="T18" s="7"/>
      <c r="U18" s="7"/>
      <c r="V18" s="7"/>
      <c r="W18" s="7"/>
      <c r="X18" s="37"/>
      <c r="Y18" s="37">
        <v>1</v>
      </c>
      <c r="Z18" s="37"/>
      <c r="AA18" s="37">
        <v>1</v>
      </c>
      <c r="AB18" s="37"/>
      <c r="AC18" s="37"/>
    </row>
    <row r="19" spans="3:29" ht="57.6" x14ac:dyDescent="0.3">
      <c r="C19" s="1" t="s">
        <v>96</v>
      </c>
      <c r="D19" s="1" t="s">
        <v>92</v>
      </c>
      <c r="E19" s="68" t="s">
        <v>198</v>
      </c>
      <c r="F19" s="79">
        <v>2019</v>
      </c>
      <c r="G19" s="13" t="s">
        <v>199</v>
      </c>
      <c r="H19" s="12" t="s">
        <v>200</v>
      </c>
      <c r="I19" s="6"/>
      <c r="J19" s="6"/>
      <c r="K19" s="6"/>
      <c r="L19" s="6"/>
      <c r="M19" s="6"/>
      <c r="N19" s="59"/>
      <c r="O19" s="7"/>
      <c r="P19" s="7"/>
      <c r="Q19" s="7">
        <v>1</v>
      </c>
      <c r="R19" s="7">
        <v>1</v>
      </c>
      <c r="S19" s="7">
        <v>1</v>
      </c>
      <c r="T19" s="7"/>
      <c r="U19" s="7"/>
      <c r="V19" s="7"/>
      <c r="W19" s="7"/>
      <c r="X19" s="37"/>
      <c r="Y19" s="37">
        <v>1</v>
      </c>
      <c r="Z19" s="37"/>
      <c r="AA19" s="37">
        <v>1</v>
      </c>
      <c r="AB19" s="37"/>
      <c r="AC19" s="37"/>
    </row>
    <row r="20" spans="3:29" ht="28.8" x14ac:dyDescent="0.3">
      <c r="C20" s="2" t="s">
        <v>99</v>
      </c>
      <c r="D20" s="1" t="s">
        <v>100</v>
      </c>
      <c r="E20" s="69" t="s">
        <v>201</v>
      </c>
      <c r="F20" s="79">
        <v>2023</v>
      </c>
      <c r="G20" s="13" t="s">
        <v>202</v>
      </c>
      <c r="H20" s="12" t="s">
        <v>203</v>
      </c>
      <c r="I20" s="6"/>
      <c r="J20" s="6"/>
      <c r="K20" s="6"/>
      <c r="L20" s="6"/>
      <c r="M20" s="6"/>
      <c r="N20" s="7"/>
      <c r="O20" s="7"/>
      <c r="P20" s="7">
        <v>1</v>
      </c>
      <c r="Q20" s="7">
        <v>1</v>
      </c>
      <c r="R20" s="7">
        <v>1</v>
      </c>
      <c r="S20" s="7">
        <v>1</v>
      </c>
      <c r="T20" s="7"/>
      <c r="U20" s="7"/>
      <c r="V20" s="7"/>
      <c r="W20" s="7"/>
      <c r="X20" s="37"/>
      <c r="Y20" s="37">
        <v>1</v>
      </c>
      <c r="Z20" s="37"/>
      <c r="AA20" s="37"/>
      <c r="AB20" s="37"/>
      <c r="AC20" s="37"/>
    </row>
    <row r="21" spans="3:29" ht="66.599999999999994" x14ac:dyDescent="0.3">
      <c r="C21" s="1" t="s">
        <v>102</v>
      </c>
      <c r="D21" s="1" t="s">
        <v>100</v>
      </c>
      <c r="E21" s="69" t="s">
        <v>204</v>
      </c>
      <c r="F21" s="79">
        <v>2018</v>
      </c>
      <c r="G21" s="12" t="s">
        <v>205</v>
      </c>
      <c r="H21" s="12" t="s">
        <v>206</v>
      </c>
      <c r="I21" s="6"/>
      <c r="J21" s="6"/>
      <c r="K21" s="6"/>
      <c r="L21" s="6"/>
      <c r="M21" s="6"/>
      <c r="N21" s="7"/>
      <c r="O21" s="7">
        <v>1</v>
      </c>
      <c r="P21" s="7"/>
      <c r="Q21" s="7">
        <v>1</v>
      </c>
      <c r="R21" s="7"/>
      <c r="S21" s="7"/>
      <c r="T21" s="7"/>
      <c r="U21" s="7"/>
      <c r="V21" s="7"/>
      <c r="W21" s="7"/>
      <c r="X21" s="37"/>
      <c r="Y21" s="37">
        <v>1</v>
      </c>
      <c r="Z21" s="37"/>
      <c r="AA21" s="37">
        <v>1</v>
      </c>
      <c r="AB21" s="37"/>
      <c r="AC21" s="37"/>
    </row>
    <row r="22" spans="3:29" ht="43.2" x14ac:dyDescent="0.3">
      <c r="C22" s="2" t="s">
        <v>104</v>
      </c>
      <c r="D22" s="1" t="s">
        <v>9</v>
      </c>
      <c r="E22" s="63" t="s">
        <v>207</v>
      </c>
      <c r="F22" s="79">
        <v>2023</v>
      </c>
      <c r="G22" s="12" t="s">
        <v>208</v>
      </c>
      <c r="H22" s="12" t="s">
        <v>209</v>
      </c>
      <c r="I22" s="6"/>
      <c r="J22" s="6"/>
      <c r="K22" s="6"/>
      <c r="L22" s="6"/>
      <c r="M22" s="6"/>
      <c r="N22" s="7"/>
      <c r="O22" s="7"/>
      <c r="P22" s="7"/>
      <c r="Q22" s="7">
        <v>1</v>
      </c>
      <c r="R22" s="7">
        <v>1</v>
      </c>
      <c r="S22" s="7"/>
      <c r="T22" s="7">
        <v>1</v>
      </c>
      <c r="U22" s="7">
        <v>1</v>
      </c>
      <c r="V22" s="7">
        <v>1</v>
      </c>
      <c r="W22" s="7"/>
      <c r="X22" s="37"/>
      <c r="Y22" s="37"/>
      <c r="Z22" s="37"/>
      <c r="AA22" s="37">
        <v>1</v>
      </c>
      <c r="AB22" s="37"/>
      <c r="AC22" s="37">
        <v>1</v>
      </c>
    </row>
    <row r="23" spans="3:29" ht="43.2" x14ac:dyDescent="0.3">
      <c r="C23" s="1" t="s">
        <v>106</v>
      </c>
      <c r="D23" s="1" t="s">
        <v>9</v>
      </c>
      <c r="E23" s="69" t="s">
        <v>210</v>
      </c>
      <c r="F23" s="79">
        <v>2023</v>
      </c>
      <c r="G23" s="12" t="s">
        <v>211</v>
      </c>
      <c r="H23" s="12" t="s">
        <v>212</v>
      </c>
      <c r="I23" s="6"/>
      <c r="J23" s="6"/>
      <c r="K23" s="6"/>
      <c r="L23" s="6"/>
      <c r="M23" s="6"/>
      <c r="N23" s="7"/>
      <c r="O23" s="7"/>
      <c r="P23" s="7"/>
      <c r="Q23" s="7"/>
      <c r="R23" s="7">
        <v>1</v>
      </c>
      <c r="S23" s="7"/>
      <c r="T23" s="7"/>
      <c r="U23" s="7"/>
      <c r="V23" s="7"/>
      <c r="W23" s="7">
        <v>1</v>
      </c>
      <c r="X23" s="37"/>
      <c r="Y23" s="37">
        <v>1</v>
      </c>
      <c r="Z23" s="37"/>
      <c r="AA23" s="37">
        <v>1</v>
      </c>
      <c r="AB23" s="37"/>
      <c r="AC23" s="37"/>
    </row>
    <row r="24" spans="3:29" ht="40.200000000000003" x14ac:dyDescent="0.3">
      <c r="C24" s="1" t="s">
        <v>108</v>
      </c>
      <c r="D24" s="1" t="s">
        <v>9</v>
      </c>
      <c r="E24" s="69" t="s">
        <v>213</v>
      </c>
      <c r="F24" s="79">
        <v>2023</v>
      </c>
      <c r="G24" s="13" t="s">
        <v>214</v>
      </c>
      <c r="H24" s="12" t="s">
        <v>215</v>
      </c>
      <c r="I24" s="6"/>
      <c r="J24" s="6"/>
      <c r="K24" s="6"/>
      <c r="L24" s="6"/>
      <c r="M24" s="6"/>
      <c r="N24" s="7"/>
      <c r="O24" s="7"/>
      <c r="P24" s="7"/>
      <c r="Q24" s="7"/>
      <c r="R24" s="7">
        <v>1</v>
      </c>
      <c r="S24" s="7"/>
      <c r="T24" s="7"/>
      <c r="U24" s="7"/>
      <c r="V24" s="7"/>
      <c r="W24" s="7"/>
      <c r="X24" s="37"/>
      <c r="Y24" s="37">
        <v>1</v>
      </c>
      <c r="Z24" s="37"/>
      <c r="AA24" s="37">
        <v>1</v>
      </c>
      <c r="AB24" s="37"/>
      <c r="AC24" s="37"/>
    </row>
    <row r="25" spans="3:29" ht="53.4" x14ac:dyDescent="0.3">
      <c r="C25" s="1" t="s">
        <v>110</v>
      </c>
      <c r="D25" s="1" t="s">
        <v>9</v>
      </c>
      <c r="E25" s="63" t="s">
        <v>216</v>
      </c>
      <c r="F25" s="79">
        <v>2023</v>
      </c>
      <c r="G25" s="12" t="s">
        <v>217</v>
      </c>
      <c r="H25" s="12" t="s">
        <v>218</v>
      </c>
      <c r="I25" s="9"/>
      <c r="J25" s="9"/>
      <c r="K25" s="9"/>
      <c r="L25" s="9"/>
      <c r="M25" s="9"/>
      <c r="N25" s="39"/>
      <c r="O25" s="39"/>
      <c r="P25" s="39"/>
      <c r="Q25" s="39">
        <v>1</v>
      </c>
      <c r="R25" s="39">
        <v>1</v>
      </c>
      <c r="S25" s="39"/>
      <c r="T25" s="39"/>
      <c r="U25" s="39"/>
      <c r="V25" s="39"/>
      <c r="W25" s="39"/>
      <c r="X25" s="38"/>
      <c r="Y25" s="38">
        <v>1</v>
      </c>
      <c r="Z25" s="38"/>
      <c r="AA25" s="38">
        <v>1</v>
      </c>
      <c r="AB25" s="38"/>
      <c r="AC25" s="38"/>
    </row>
    <row r="26" spans="3:29" ht="48.75" customHeight="1" x14ac:dyDescent="0.3">
      <c r="C26" s="45" t="s">
        <v>112</v>
      </c>
      <c r="D26" s="1" t="s">
        <v>9</v>
      </c>
      <c r="E26" s="63" t="s">
        <v>219</v>
      </c>
      <c r="F26" s="80">
        <v>2023</v>
      </c>
      <c r="G26" s="12" t="s">
        <v>220</v>
      </c>
      <c r="H26" s="12" t="s">
        <v>221</v>
      </c>
      <c r="I26" s="6"/>
      <c r="J26" s="6"/>
      <c r="K26" s="6"/>
      <c r="L26" s="6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38"/>
      <c r="Y26" s="38"/>
      <c r="Z26" s="38"/>
      <c r="AA26" s="38"/>
      <c r="AB26" s="38"/>
      <c r="AC26" s="38"/>
    </row>
    <row r="27" spans="3:29" ht="43.2" x14ac:dyDescent="0.3">
      <c r="C27" s="45" t="s">
        <v>114</v>
      </c>
      <c r="D27" s="1" t="s">
        <v>9</v>
      </c>
      <c r="E27" s="70" t="s">
        <v>222</v>
      </c>
      <c r="F27" s="81">
        <v>2023</v>
      </c>
      <c r="G27" s="12" t="s">
        <v>220</v>
      </c>
      <c r="H27" s="12" t="s">
        <v>223</v>
      </c>
      <c r="I27" s="6">
        <v>1</v>
      </c>
      <c r="J27" s="6"/>
      <c r="K27" s="6"/>
      <c r="L27" s="6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38"/>
      <c r="Y27" s="38"/>
      <c r="Z27" s="38"/>
      <c r="AA27" s="38"/>
      <c r="AB27" s="38"/>
      <c r="AC27" s="38"/>
    </row>
    <row r="28" spans="3:29" ht="72" x14ac:dyDescent="0.3">
      <c r="C28" s="46" t="s">
        <v>116</v>
      </c>
      <c r="D28" s="1" t="s">
        <v>9</v>
      </c>
      <c r="E28" s="71" t="s">
        <v>224</v>
      </c>
      <c r="F28" s="81">
        <v>2023</v>
      </c>
      <c r="G28" s="12" t="s">
        <v>225</v>
      </c>
      <c r="H28" s="12" t="s">
        <v>226</v>
      </c>
      <c r="I28" s="6"/>
      <c r="J28" s="6">
        <v>1</v>
      </c>
      <c r="K28" s="6"/>
      <c r="L28" s="6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38"/>
      <c r="Y28" s="38"/>
      <c r="Z28" s="38"/>
      <c r="AA28" s="38"/>
      <c r="AB28" s="38"/>
      <c r="AC28" s="38"/>
    </row>
    <row r="29" spans="3:29" ht="57.6" x14ac:dyDescent="0.3">
      <c r="C29" s="47" t="s">
        <v>118</v>
      </c>
      <c r="D29" s="36" t="s">
        <v>9</v>
      </c>
      <c r="E29" s="62" t="s">
        <v>227</v>
      </c>
      <c r="F29" s="82">
        <v>2023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38"/>
      <c r="Y29" s="40"/>
      <c r="Z29" s="40"/>
      <c r="AA29" s="40"/>
      <c r="AB29" s="40"/>
      <c r="AC29" s="40"/>
    </row>
    <row r="30" spans="3:29" ht="43.2" x14ac:dyDescent="0.3">
      <c r="C30" s="47" t="s">
        <v>119</v>
      </c>
      <c r="D30" s="36" t="s">
        <v>9</v>
      </c>
      <c r="E30" s="74" t="s">
        <v>228</v>
      </c>
      <c r="F30" s="82">
        <v>2022</v>
      </c>
      <c r="I30" s="6"/>
      <c r="J30" s="6"/>
      <c r="K30" s="6"/>
      <c r="L30" s="6"/>
      <c r="M30" s="6"/>
      <c r="N30" s="6"/>
      <c r="O30" s="6"/>
      <c r="P30" s="6"/>
      <c r="Q30" s="6">
        <v>1</v>
      </c>
      <c r="R30" s="6">
        <v>1</v>
      </c>
      <c r="S30" s="6"/>
      <c r="T30" s="6"/>
      <c r="U30" s="6"/>
      <c r="V30" s="6"/>
      <c r="W30" s="6"/>
      <c r="X30" s="37"/>
      <c r="Y30" s="37">
        <v>1</v>
      </c>
      <c r="Z30" s="37"/>
      <c r="AA30" s="37">
        <v>1</v>
      </c>
      <c r="AB30" s="37"/>
      <c r="AC30" s="37"/>
    </row>
    <row r="31" spans="3:29" ht="57.6" x14ac:dyDescent="0.3">
      <c r="C31" s="47" t="s">
        <v>120</v>
      </c>
      <c r="D31" s="36" t="s">
        <v>9</v>
      </c>
      <c r="E31" s="62" t="s">
        <v>229</v>
      </c>
      <c r="F31" s="82">
        <v>2022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37"/>
      <c r="Y31" s="37"/>
      <c r="Z31" s="37"/>
      <c r="AA31" s="37"/>
      <c r="AB31" s="37"/>
      <c r="AC31" s="37"/>
    </row>
    <row r="32" spans="3:29" ht="57.6" x14ac:dyDescent="0.3">
      <c r="C32" s="47" t="s">
        <v>121</v>
      </c>
      <c r="D32" s="36" t="s">
        <v>9</v>
      </c>
      <c r="E32" s="74" t="s">
        <v>230</v>
      </c>
      <c r="F32" s="82">
        <v>2022</v>
      </c>
      <c r="I32" s="9"/>
      <c r="J32" s="9"/>
      <c r="K32" s="9"/>
      <c r="L32" s="9"/>
      <c r="M32" s="9">
        <v>1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38"/>
      <c r="Y32" s="38"/>
      <c r="Z32" s="38"/>
      <c r="AA32" s="38">
        <v>1</v>
      </c>
      <c r="AB32" s="38"/>
      <c r="AC32" s="38"/>
    </row>
    <row r="33" spans="3:29" ht="28.8" x14ac:dyDescent="0.3">
      <c r="C33" s="47" t="s">
        <v>122</v>
      </c>
      <c r="D33" s="36" t="s">
        <v>9</v>
      </c>
      <c r="E33" s="74" t="s">
        <v>231</v>
      </c>
      <c r="F33" s="82">
        <v>2022</v>
      </c>
      <c r="I33" s="6"/>
      <c r="J33" s="6"/>
      <c r="K33" s="6"/>
      <c r="L33" s="6"/>
      <c r="M33" s="7"/>
      <c r="N33" s="6">
        <v>1</v>
      </c>
      <c r="O33" s="34"/>
      <c r="P33" s="6"/>
      <c r="Q33" s="6"/>
      <c r="R33" s="6"/>
      <c r="S33" s="6"/>
      <c r="T33" s="6"/>
      <c r="U33" s="6"/>
      <c r="V33" s="6"/>
      <c r="W33" s="6"/>
      <c r="X33" s="37"/>
      <c r="Y33" s="37">
        <v>1</v>
      </c>
      <c r="Z33" s="37"/>
      <c r="AA33" s="37"/>
      <c r="AB33" s="37"/>
      <c r="AC33" s="37"/>
    </row>
    <row r="34" spans="3:29" ht="72" x14ac:dyDescent="0.3">
      <c r="C34" s="47" t="s">
        <v>123</v>
      </c>
      <c r="D34" s="36" t="s">
        <v>9</v>
      </c>
      <c r="E34" s="62" t="s">
        <v>232</v>
      </c>
      <c r="F34" s="82">
        <v>2022</v>
      </c>
      <c r="I34" s="6"/>
      <c r="J34" s="6"/>
      <c r="K34" s="6"/>
      <c r="L34" s="6"/>
      <c r="M34" s="6"/>
      <c r="N34" s="35"/>
      <c r="O34" s="6"/>
      <c r="P34" s="6"/>
      <c r="Q34" s="6"/>
      <c r="R34" s="6"/>
      <c r="S34" s="6"/>
      <c r="T34" s="6"/>
      <c r="U34" s="6"/>
      <c r="V34" s="6"/>
      <c r="W34" s="6"/>
      <c r="X34" s="37"/>
      <c r="Y34" s="37"/>
      <c r="Z34" s="37"/>
      <c r="AA34" s="37"/>
      <c r="AB34" s="37"/>
      <c r="AC34" s="37"/>
    </row>
    <row r="35" spans="3:29" ht="57.6" x14ac:dyDescent="0.3">
      <c r="C35" s="47" t="s">
        <v>124</v>
      </c>
      <c r="D35" s="36" t="s">
        <v>9</v>
      </c>
      <c r="E35" s="62" t="s">
        <v>233</v>
      </c>
      <c r="F35" s="82">
        <v>2022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38"/>
      <c r="Y35" s="38"/>
      <c r="Z35" s="38"/>
      <c r="AA35" s="38"/>
      <c r="AB35" s="38"/>
      <c r="AC35" s="38"/>
    </row>
    <row r="36" spans="3:29" ht="43.2" x14ac:dyDescent="0.3">
      <c r="C36" s="47" t="s">
        <v>125</v>
      </c>
      <c r="D36" s="36" t="s">
        <v>9</v>
      </c>
      <c r="E36" s="62" t="s">
        <v>234</v>
      </c>
      <c r="F36" s="82">
        <v>2022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7"/>
      <c r="Y36" s="37"/>
      <c r="Z36" s="37"/>
      <c r="AA36" s="37">
        <v>1</v>
      </c>
      <c r="AB36" s="37"/>
      <c r="AC36" s="37"/>
    </row>
    <row r="37" spans="3:29" ht="43.2" x14ac:dyDescent="0.3">
      <c r="C37" s="47" t="s">
        <v>126</v>
      </c>
      <c r="D37" s="36" t="s">
        <v>9</v>
      </c>
      <c r="E37" s="62" t="s">
        <v>235</v>
      </c>
      <c r="F37" s="82">
        <v>2021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37"/>
      <c r="Y37" s="37"/>
      <c r="Z37" s="37"/>
      <c r="AA37" s="37"/>
      <c r="AB37" s="37"/>
      <c r="AC37" s="37"/>
    </row>
    <row r="38" spans="3:29" ht="57.6" x14ac:dyDescent="0.3">
      <c r="C38" s="47" t="s">
        <v>127</v>
      </c>
      <c r="D38" s="36" t="s">
        <v>9</v>
      </c>
      <c r="E38" s="62" t="s">
        <v>236</v>
      </c>
      <c r="F38" s="82">
        <v>2021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38"/>
      <c r="Y38" s="38"/>
      <c r="Z38" s="38"/>
      <c r="AA38" s="38"/>
      <c r="AB38" s="38"/>
      <c r="AC38" s="38"/>
    </row>
    <row r="39" spans="3:29" ht="43.2" x14ac:dyDescent="0.3">
      <c r="C39" s="47" t="s">
        <v>128</v>
      </c>
      <c r="D39" s="36" t="s">
        <v>9</v>
      </c>
      <c r="E39" s="62" t="s">
        <v>237</v>
      </c>
      <c r="F39" s="83">
        <v>2020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37"/>
      <c r="Y39" s="37"/>
      <c r="Z39" s="37"/>
      <c r="AA39" s="37"/>
      <c r="AB39" s="37"/>
      <c r="AC39" s="37"/>
    </row>
    <row r="40" spans="3:29" ht="43.2" x14ac:dyDescent="0.3">
      <c r="C40" s="47" t="s">
        <v>129</v>
      </c>
      <c r="D40" s="36" t="s">
        <v>9</v>
      </c>
      <c r="E40" s="62" t="s">
        <v>238</v>
      </c>
      <c r="F40" s="82">
        <v>2018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37"/>
      <c r="Y40" s="37"/>
      <c r="Z40" s="37"/>
      <c r="AA40" s="37"/>
      <c r="AB40" s="37"/>
      <c r="AC40" s="37"/>
    </row>
    <row r="41" spans="3:29" ht="28.8" x14ac:dyDescent="0.3">
      <c r="C41" s="47" t="s">
        <v>130</v>
      </c>
      <c r="D41" s="36" t="s">
        <v>9</v>
      </c>
      <c r="E41" s="62" t="s">
        <v>239</v>
      </c>
      <c r="F41" s="82">
        <v>2018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37"/>
      <c r="Y41" s="37"/>
      <c r="Z41" s="37"/>
      <c r="AA41" s="37"/>
      <c r="AB41" s="37"/>
      <c r="AC41" s="37"/>
    </row>
    <row r="42" spans="3:29" ht="72" x14ac:dyDescent="0.3">
      <c r="C42" s="48" t="s">
        <v>131</v>
      </c>
      <c r="D42" s="7" t="s">
        <v>132</v>
      </c>
      <c r="E42" s="62" t="s">
        <v>240</v>
      </c>
      <c r="F42" s="84">
        <v>2023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7"/>
      <c r="Y42" s="37"/>
      <c r="Z42" s="37"/>
      <c r="AA42" s="37"/>
      <c r="AB42" s="37"/>
      <c r="AC42" s="37"/>
    </row>
    <row r="43" spans="3:29" ht="72" x14ac:dyDescent="0.3">
      <c r="C43" s="47" t="s">
        <v>133</v>
      </c>
      <c r="D43" s="7" t="s">
        <v>132</v>
      </c>
      <c r="E43" s="74" t="s">
        <v>241</v>
      </c>
      <c r="F43" s="82">
        <v>2023</v>
      </c>
      <c r="I43" s="6"/>
      <c r="J43" s="6"/>
      <c r="K43" s="6"/>
      <c r="L43" s="6"/>
      <c r="M43" s="6"/>
      <c r="N43" s="6"/>
      <c r="O43" s="6"/>
      <c r="P43" s="6"/>
      <c r="Q43" s="6">
        <v>1</v>
      </c>
      <c r="R43" s="6">
        <v>1</v>
      </c>
      <c r="S43" s="6"/>
      <c r="T43" s="6"/>
      <c r="U43" s="6"/>
      <c r="V43" s="6"/>
      <c r="W43" s="6"/>
      <c r="X43" s="37"/>
      <c r="Y43" s="37">
        <v>1</v>
      </c>
      <c r="Z43" s="37"/>
      <c r="AA43" s="37">
        <v>1</v>
      </c>
      <c r="AB43" s="37"/>
      <c r="AC43" s="37"/>
    </row>
    <row r="44" spans="3:29" ht="57.6" x14ac:dyDescent="0.3">
      <c r="C44" s="47" t="s">
        <v>134</v>
      </c>
      <c r="D44" s="7" t="s">
        <v>132</v>
      </c>
      <c r="E44" s="74" t="s">
        <v>242</v>
      </c>
      <c r="F44" s="82">
        <v>2023</v>
      </c>
      <c r="I44" s="6"/>
      <c r="J44" s="6"/>
      <c r="K44" s="6"/>
      <c r="L44" s="6"/>
      <c r="M44" s="6"/>
      <c r="N44" s="6"/>
      <c r="O44" s="6"/>
      <c r="P44" s="6"/>
      <c r="Q44" s="6">
        <v>1</v>
      </c>
      <c r="R44" s="6">
        <v>1</v>
      </c>
      <c r="S44" s="6"/>
      <c r="T44" s="6"/>
      <c r="U44" s="6"/>
      <c r="V44" s="6"/>
      <c r="W44" s="6"/>
      <c r="X44" s="37"/>
      <c r="Y44" s="37">
        <v>1</v>
      </c>
      <c r="Z44" s="37"/>
      <c r="AA44" s="37">
        <v>1</v>
      </c>
      <c r="AB44" s="37"/>
      <c r="AC44" s="37"/>
    </row>
    <row r="45" spans="3:29" ht="66" customHeight="1" x14ac:dyDescent="0.3">
      <c r="C45" s="47" t="s">
        <v>135</v>
      </c>
      <c r="D45" s="7" t="s">
        <v>132</v>
      </c>
      <c r="E45" s="74" t="s">
        <v>243</v>
      </c>
      <c r="F45" s="82">
        <v>2020</v>
      </c>
      <c r="I45" s="6"/>
      <c r="J45" s="6"/>
      <c r="K45" s="6"/>
      <c r="L45" s="6"/>
      <c r="M45" s="6"/>
      <c r="N45" s="6"/>
      <c r="O45" s="6"/>
      <c r="P45" s="6"/>
      <c r="Q45" s="6"/>
      <c r="R45" s="6">
        <v>1</v>
      </c>
      <c r="S45" s="6"/>
      <c r="T45" s="6"/>
      <c r="U45" s="6"/>
      <c r="V45" s="6"/>
      <c r="W45" s="6"/>
      <c r="X45" s="37">
        <v>1</v>
      </c>
      <c r="Y45" s="37">
        <v>1</v>
      </c>
      <c r="Z45" s="37"/>
      <c r="AA45" s="37">
        <v>1</v>
      </c>
      <c r="AB45" s="37"/>
      <c r="AC45" s="37"/>
    </row>
    <row r="46" spans="3:29" x14ac:dyDescent="0.3">
      <c r="I46" s="41">
        <f t="shared" ref="I46:O46" si="0">SUM(I8:I45)</f>
        <v>1</v>
      </c>
      <c r="J46" s="41">
        <f t="shared" si="0"/>
        <v>1</v>
      </c>
      <c r="K46" s="41">
        <f t="shared" si="0"/>
        <v>0</v>
      </c>
      <c r="L46" s="41">
        <f t="shared" si="0"/>
        <v>0</v>
      </c>
      <c r="M46" s="41">
        <f t="shared" si="0"/>
        <v>2</v>
      </c>
      <c r="N46" s="41">
        <f t="shared" si="0"/>
        <v>1</v>
      </c>
      <c r="O46" s="41">
        <f t="shared" si="0"/>
        <v>1</v>
      </c>
      <c r="P46" s="41">
        <f t="shared" ref="P46:R46" si="1">SUM(P8:P45)</f>
        <v>1</v>
      </c>
      <c r="Q46" s="41">
        <f t="shared" si="1"/>
        <v>17</v>
      </c>
      <c r="R46" s="41">
        <f t="shared" si="1"/>
        <v>19</v>
      </c>
      <c r="S46" s="41">
        <f t="shared" ref="S46" si="2">SUM(S8:S45)</f>
        <v>4</v>
      </c>
      <c r="T46" s="41">
        <f>SUM(T8:T45)</f>
        <v>1</v>
      </c>
      <c r="U46" s="41">
        <f>SUM(U8:U45)</f>
        <v>1</v>
      </c>
      <c r="V46" s="41">
        <f>SUM(V8:V45)</f>
        <v>1</v>
      </c>
      <c r="W46" s="41">
        <f>SUM(W8:W45)</f>
        <v>1</v>
      </c>
      <c r="X46" s="58">
        <f t="shared" ref="X46" si="3">SUM(X8:X45)</f>
        <v>1</v>
      </c>
      <c r="Y46" s="58">
        <f t="shared" ref="Y46" si="4">SUM(Y8:Y45)</f>
        <v>19</v>
      </c>
      <c r="Z46" s="58">
        <f t="shared" ref="Z46" si="5">SUM(Z8:Z45)</f>
        <v>0</v>
      </c>
      <c r="AA46" s="58">
        <f t="shared" ref="AA46" si="6">SUM(AA8:AA45)</f>
        <v>23</v>
      </c>
      <c r="AB46" s="58">
        <f t="shared" ref="AB46" si="7">SUM(AB8:AB45)</f>
        <v>1</v>
      </c>
      <c r="AC46" s="42">
        <f>SUM(AC8:AC45)</f>
        <v>1</v>
      </c>
    </row>
  </sheetData>
  <autoFilter ref="C7:AC30" xr:uid="{15A35EC6-624E-4793-93E7-EDE9E1ADFE71}"/>
  <mergeCells count="5">
    <mergeCell ref="I6:N6"/>
    <mergeCell ref="X6:AC6"/>
    <mergeCell ref="C2:H3"/>
    <mergeCell ref="I5:AC5"/>
    <mergeCell ref="A2:A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29EC1F39B9DD41BCCFBE989E63A9DC" ma:contentTypeVersion="10" ma:contentTypeDescription="Crear nuevo documento." ma:contentTypeScope="" ma:versionID="fc06bebdbdf277271b3b7852d6872b8a">
  <xsd:schema xmlns:xsd="http://www.w3.org/2001/XMLSchema" xmlns:xs="http://www.w3.org/2001/XMLSchema" xmlns:p="http://schemas.microsoft.com/office/2006/metadata/properties" xmlns:ns3="5b06a7d3-8a06-4fd7-88da-f0ff67c71e72" targetNamespace="http://schemas.microsoft.com/office/2006/metadata/properties" ma:root="true" ma:fieldsID="0b5e6bf1bfa9b37807c2e0c964db186d" ns3:_="">
    <xsd:import namespace="5b06a7d3-8a06-4fd7-88da-f0ff67c71e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6a7d3-8a06-4fd7-88da-f0ff67c71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A6899-0EFD-41ED-99B2-369E509E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6a7d3-8a06-4fd7-88da-f0ff67c7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BF84BE-6AFB-4495-8F40-8DFBF1912A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4B985C0-369C-4698-BEEC-350B56DD38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Research string</vt:lpstr>
      <vt:lpstr>Analysis</vt:lpstr>
      <vt:lpstr>Primary studies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Daniel Sanchez Garcia</dc:creator>
  <cp:keywords/>
  <dc:description/>
  <cp:lastModifiedBy>Josue Chango</cp:lastModifiedBy>
  <cp:revision/>
  <dcterms:created xsi:type="dcterms:W3CDTF">2022-07-15T18:43:36Z</dcterms:created>
  <dcterms:modified xsi:type="dcterms:W3CDTF">2026-04-22T19:31:18Z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0x0101004C29EC1F39B9DD41BCCFBE989E63A9DC</vt:lpwstr>
  </property>
</Properties>
</file>